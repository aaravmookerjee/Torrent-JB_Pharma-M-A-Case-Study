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3d5316ef9d4250" /></Relationships>
</file>

<file path=xl/workbook.xml><?xml version="1.0" encoding="utf-8"?>
<x:workbook xmlns:x="http://schemas.openxmlformats.org/spreadsheetml/2006/main">
  <x:sheets>
    <x:sheet xmlns:r="http://schemas.openxmlformats.org/officeDocument/2006/relationships" name="Summary" sheetId="1" r:id="Re8ee1bde3584480c"/>
    <x:sheet xmlns:r="http://schemas.openxmlformats.org/officeDocument/2006/relationships" name="Torrent history" sheetId="2" r:id="Recf47d4852834439"/>
    <x:sheet xmlns:r="http://schemas.openxmlformats.org/officeDocument/2006/relationships" name="JB history" sheetId="3" r:id="R3ce7810ee5134f87"/>
    <x:sheet xmlns:r="http://schemas.openxmlformats.org/officeDocument/2006/relationships" name="Torrent inputs" sheetId="4" r:id="R9d5d83be319140e9"/>
    <x:sheet xmlns:r="http://schemas.openxmlformats.org/officeDocument/2006/relationships" name="JB inputs" sheetId="5" r:id="R8753dc9359fe42e0"/>
    <x:sheet xmlns:r="http://schemas.openxmlformats.org/officeDocument/2006/relationships" name="Walkthrough" sheetId="6" r:id="R39bfe58776104467"/>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quot;–&quot;"/>
    <x:numFmt numFmtId="201" formatCode="#,##0.00;(#,##0.00);&quot;–&quot;"/>
    <x:numFmt numFmtId="202" formatCode="#,##0"/>
    <x:numFmt numFmtId="203" formatCode="0.00;(0.00);&quot;–&quot;"/>
    <x:numFmt numFmtId="204" formatCode="0.0%;(0.0%);&quot;–&quot;"/>
    <x:numFmt numFmtId="205" formatCode="0.0&quot;x&quot;;(0.0&quot;x&quot;);&quot;–&quot;"/>
  </x:numFmts>
  <x:fonts count="13">
    <x:font>
      <x:sz val="11"/>
      <x:name val="Carlito"/>
    </x:font>
    <x:font>
      <x:sz val="11"/>
      <x:color rgb="FF172B40"/>
      <x:name val="Arial"/>
    </x:font>
    <x:font>
      <x:b/>
      <x:sz val="20"/>
      <x:color rgb="FF142D46"/>
      <x:name val="Arial"/>
    </x:font>
    <x:font>
      <x:sz val="10"/>
      <x:color rgb="FF62748A"/>
      <x:name val="Arial"/>
    </x:font>
    <x:font>
      <x:b/>
      <x:sz val="11"/>
      <x:color rgb="FF172B40"/>
      <x:name val="Arial"/>
    </x:font>
    <x:font>
      <x:b/>
      <x:sz val="11"/>
      <x:color rgb="FFFFFFFF"/>
      <x:name val="Arial"/>
    </x:font>
    <x:font>
      <x:sz val="11"/>
      <x:color rgb="FF1555B7"/>
      <x:name val="Arial"/>
    </x:font>
    <x:font>
      <x:sz val="9"/>
      <x:color rgb="FF62748A"/>
      <x:name val="Arial"/>
    </x:font>
    <x:font>
      <x:sz val="10"/>
      <x:color rgb="FF172B40"/>
      <x:name val="Arial"/>
    </x:font>
    <x:font>
      <x:b/>
      <x:sz val="10"/>
      <x:color rgb="FFFFFFFF"/>
      <x:name val="Arial"/>
    </x:font>
    <x:font>
      <x:sz val="11"/>
      <x:color rgb="FF008044"/>
      <x:name val="Arial"/>
    </x:font>
    <x:font>
      <x:i/>
      <x:sz val="11"/>
      <x:color rgb="FF172B40"/>
      <x:name val="Arial"/>
    </x:font>
    <x:font>
      <x:b/>
      <x:sz val="11"/>
      <x:color rgb="FF008044"/>
      <x:name val="Arial"/>
    </x:font>
  </x:fonts>
  <x:fills count="4">
    <x:fill>
      <x:patternFill patternType="none"/>
    </x:fill>
    <x:fill>
      <x:patternFill patternType="gray125"/>
    </x:fill>
    <x:fill>
      <x:patternFill patternType="solid">
        <x:fgColor rgb="FFEAF1F6"/>
      </x:patternFill>
    </x:fill>
    <x:fill>
      <x:patternFill patternType="solid">
        <x:fgColor rgb="FF142D46"/>
      </x:patternFill>
    </x:fill>
  </x:fills>
  <x:borders count="2">
    <x:border/>
    <x:border>
      <x:top style="thin">
        <x:color rgb="FFACBBC8"/>
      </x:top>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20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20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200" fontId="4" fillId="2"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0" fontId="5" fillId="3" borderId="0" xfId="0" applyNumberFormat="1" applyFont="1" applyFill="1" applyBorder="1" applyAlignment="1">
      <x:alignment vertical="center"/>
    </x:xf>
    <x:xf numFmtId="201"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201" fontId="5" fillId="3" borderId="0" xfId="0" applyNumberFormat="1" applyFont="1" applyFill="1" applyBorder="1" applyAlignment="1">
      <x:alignment vertical="center"/>
    </x:xf>
    <x:xf numFmtId="202" fontId="6" fillId="0" borderId="0" xfId="0" applyNumberFormat="1" applyFont="1" applyFill="1" applyBorder="1" applyAlignment="1">
      <x:alignment vertical="center"/>
    </x:xf>
    <x:xf numFmtId="203" fontId="6"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9" fillId="3" borderId="0" xfId="0" applyNumberFormat="1" applyFont="1" applyFill="1" applyBorder="1" applyAlignment="1">
      <x:alignment vertical="center"/>
    </x:xf>
    <x:xf numFmtId="200" fontId="10"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0" fontId="11" fillId="0" borderId="0" xfId="0" applyNumberFormat="1" applyFont="1" applyFill="1" applyBorder="1" applyAlignment="1">
      <x:alignment vertical="center"/>
    </x:xf>
    <x:xf numFmtId="204" fontId="1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11" fillId="0" borderId="0" xfId="0" applyNumberFormat="1" applyFont="1" applyFill="1" applyBorder="1" applyAlignment="1">
      <x:alignment vertical="center"/>
    </x:xf>
    <x:xf numFmtId="203" fontId="10"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12"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200" fontId="12" fillId="0" borderId="1" xfId="0" applyNumberFormat="1" applyFont="1" applyFill="1" applyBorder="1" applyAlignment="1">
      <x:alignment vertical="center"/>
    </x:xf>
    <x:xf numFmtId="200" fontId="4" fillId="0" borderId="0" xfId="0" applyNumberFormat="1" applyFont="1" applyFill="1" applyBorder="1" applyAlignment="1">
      <x:alignment vertical="center"/>
    </x:xf>
    <x:xf numFmtId="200" fontId="4" fillId="0" borderId="1" xfId="0" applyNumberFormat="1" applyFont="1" applyFill="1" applyBorder="1" applyAlignment="1">
      <x:alignment vertical="center"/>
    </x:xf>
    <x:xf numFmtId="203" fontId="4" fillId="0" borderId="0" xfId="0" applyNumberFormat="1" applyFont="1" applyFill="1" applyBorder="1" applyAlignment="1">
      <x:alignment vertical="center"/>
    </x:xf>
    <x:xf numFmtId="203" fontId="4" fillId="0" borderId="1" xfId="0" applyNumberFormat="1" applyFont="1" applyFill="1" applyBorder="1" applyAlignment="1">
      <x:alignment vertical="center"/>
    </x:xf>
    <x:xf numFmtId="204" fontId="0" fillId="0" borderId="0" xfId="0" applyNumberFormat="1" applyFont="1" applyFill="1" applyBorder="1"/>
  </x:cellXfs>
  <x:cellStyles count="1">
    <x:cellStyle name="Normal" xfId="0"/>
  </x:cellStyles>
  <x:dxfs count="2">
    <x:dxf>
      <x:font>
        <x:b/>
        <x:color rgb="FFB42318"/>
      </x:font>
      <x:fill>
        <x:patternFill patternType="solid">
          <x:bgColor rgb="FFFCE5E1"/>
        </x:patternFill>
      </x:fill>
    </x:dxf>
    <x:dxf>
      <x:font>
        <x:b/>
        <x:color rgb="FFB42318"/>
      </x:font>
      <x:fill>
        <x:patternFill patternType="solid">
          <x:bgColor rgb="FFFCE5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8a2c548e0b4cf5" /><Relationship Type="http://schemas.openxmlformats.org/officeDocument/2006/relationships/theme" Target="/xl/theme/theme1.xml" Id="R2806fb7130c1404f" /><Relationship Type="http://schemas.openxmlformats.org/officeDocument/2006/relationships/sharedStrings" Target="/xl/sharedStrings.xml" Id="R412bbf2fd2bc4d36" /><Relationship Type="http://schemas.openxmlformats.org/officeDocument/2006/relationships/worksheet" Target="/xl/worksheets/sheet1.xml" Id="Re8ee1bde3584480c" /><Relationship Type="http://schemas.openxmlformats.org/officeDocument/2006/relationships/worksheet" Target="/xl/worksheets/sheet2.xml" Id="Recf47d4852834439" /><Relationship Type="http://schemas.openxmlformats.org/officeDocument/2006/relationships/worksheet" Target="/xl/worksheets/sheet3.xml" Id="R3ce7810ee5134f87" /><Relationship Type="http://schemas.openxmlformats.org/officeDocument/2006/relationships/worksheet" Target="/xl/worksheets/sheet4.xml" Id="R9d5d83be319140e9" /><Relationship Type="http://schemas.openxmlformats.org/officeDocument/2006/relationships/worksheet" Target="/xl/worksheets/sheet5.xml" Id="R8753dc9359fe42e0" /><Relationship Type="http://schemas.openxmlformats.org/officeDocument/2006/relationships/worksheet" Target="/xl/worksheets/sheet6.xml" Id="R39bfe58776104467" /></Relationships>
</file>

<file path=xl/drawings/_rels/drawing1.xml.rels>&#65279;<?xml version="1.0" encoding="utf-8"?><Relationships xmlns="http://schemas.openxmlformats.org/package/2006/relationships"><Relationship Type="http://schemas.openxmlformats.org/officeDocument/2006/relationships/chart" Target="/xl/drawings/charts/chart1.xml" Id="Rca5fcf1e8c8840a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Operating EBITDA margin | FY21–FY25</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Torrent margin</c:v>
          </c:tx>
          <c:spPr>
            <a:ln xmlns:a="http://schemas.openxmlformats.org/drawingml/2006/main" w="19050">
              <a:solidFill>
                <a:srgbClr val="142D46"/>
              </a:solidFill>
              <a:prstDash val="solid"/>
            </a:ln>
          </c:spPr>
          <c:marker>
            <c:symbol val="none"/>
          </c:marker>
          <c:cat>
            <c:strRef>
              <c:f>'Summary'!$J$45:$J$49</c:f>
              <c:strCache>
                <c:ptCount val="0"/>
              </c:strCache>
            </c:strRef>
          </c:cat>
          <c:val>
            <c:numRef>
              <c:f>'Summary'!$K$45:$K$49</c:f>
              <c:numCache>
                <c:formatCode>0.0%;(0.0%);"–"</c:formatCode>
                <c:ptCount val="0"/>
              </c:numCache>
            </c:numRef>
          </c:val>
          <c:smooth val="0"/>
        </c:ser>
        <c:ser>
          <c:idx val="1"/>
          <c:order val="1"/>
          <c:tx>
            <c:v>JB margin</c:v>
          </c:tx>
          <c:spPr>
            <a:ln xmlns:a="http://schemas.openxmlformats.org/drawingml/2006/main" w="19050">
              <a:solidFill>
                <a:srgbClr val="067A81"/>
              </a:solidFill>
              <a:prstDash val="solid"/>
            </a:ln>
          </c:spPr>
          <c:marker>
            <c:symbol val="none"/>
          </c:marker>
          <c:cat>
            <c:strRef>
              <c:f>'Summary'!$J$45:$J$49</c:f>
              <c:strCache>
                <c:ptCount val="0"/>
              </c:strCache>
            </c:strRef>
          </c:cat>
          <c:val>
            <c:numRef>
              <c:f>'Summary'!$L$45:$L$49</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42</xdr:row>
      <xdr:rowOff>0</xdr:rowOff>
    </xdr:from>
    <xdr:to>
      <xdr:col>8</xdr:col>
      <xdr:colOff>0</xdr:colOff>
      <xdr:row>59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5fcf1e8c8840a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9d55d08ae284408" /></Relationships>
</file>

<file path=xl/worksheets/sheet1.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19" hidden="0" customWidth="1"/>
    <x:col min="11" max="11" width="18" hidden="0" customWidth="1"/>
    <x:col min="12" max="12" width="18" hidden="0" customWidth="1"/>
  </x:cols>
  <x:sheetData>
    <x:row r="1" ht="22" customHeight="1">
      <x:c r="A1" s="2"/>
      <x:c r="B1" s="2"/>
      <x:c r="C1" s="3"/>
      <x:c r="D1" s="3"/>
      <x:c r="E1" s="3"/>
      <x:c r="F1" s="3"/>
      <x:c r="G1" s="3"/>
      <x:c r="H1" s="2"/>
      <x:c r="I1" s="2"/>
      <x:c r="J1" s="2"/>
    </x:row>
    <x:row r="2" ht="38" customHeight="1">
      <x:c r="A2" s="2"/>
      <x:c r="B2" s="4" t="str">
        <x:v>Torrent Pharma × JB Pharma</x:v>
      </x:c>
      <x:c r="C2" s="5"/>
      <x:c r="D2" s="5"/>
      <x:c r="E2" s="5"/>
      <x:c r="F2" s="5"/>
      <x:c r="G2" s="5"/>
      <x:c r="H2" s="2"/>
      <x:c r="I2" s="2"/>
      <x:c r="J2" s="2"/>
    </x:row>
    <x:row r="3" ht="30" customHeight="1">
      <x:c r="A3" s="2"/>
      <x:c r="B3" s="8" t="str">
        <x:v>Step 2 • Case date: 29 June 2025 • Consolidated actuals • INR crore, except ratios and EPS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TORRENT PHARMA</x:v>
      </x:c>
      <x:c r="C6" s="18"/>
      <x:c r="D6" s="18"/>
      <x:c r="E6" s="18"/>
      <x:c r="F6" s="18"/>
      <x:c r="G6" s="18"/>
      <x:c r="H6" s="2"/>
      <x:c r="I6" s="2"/>
      <x:c r="J6" s="2"/>
    </x:row>
    <x:row r="7" ht="22" customHeight="1">
      <x:c r="A7" s="2"/>
      <x:c r="B7" s="38" t="str">
        <x:v>Revenue</x:v>
      </x:c>
      <x:c r="C7" s="41" t="n">
        <x:f>'Torrent history'!C7</x:f>
        <x:v>8004.83</x:v>
      </x:c>
      <x:c r="D7" s="41" t="n">
        <x:f>'Torrent history'!D7</x:f>
        <x:v>8508.04</x:v>
      </x:c>
      <x:c r="E7" s="41" t="n">
        <x:f>'Torrent history'!E7</x:f>
        <x:v>9620.15</x:v>
      </x:c>
      <x:c r="F7" s="41" t="n">
        <x:f>'Torrent history'!F7</x:f>
        <x:v>10727.84</x:v>
      </x:c>
      <x:c r="G7" s="41" t="n">
        <x:f>'Torrent history'!G7</x:f>
        <x:v>11516.09</x:v>
      </x:c>
      <x:c r="H7" s="2"/>
      <x:c r="I7" s="2"/>
      <x:c r="J7" s="2"/>
    </x:row>
    <x:row r="8" ht="22" customHeight="1">
      <x:c r="A8" s="2"/>
      <x:c r="B8" s="2" t="str">
        <x:v>Revenue growth</x:v>
      </x:c>
      <x:c r="C8" s="29" t="str">
        <x:f>'Torrent history'!C8</x:f>
        <x:v>n/a</x:v>
      </x:c>
      <x:c r="D8" s="29" t="n">
        <x:f>'Torrent history'!D8</x:f>
        <x:v>0.06286329628486809</x:v>
      </x:c>
      <x:c r="E8" s="29" t="n">
        <x:f>'Torrent history'!E8</x:f>
        <x:v>0.1307128316274957</x:v>
      </x:c>
      <x:c r="F8" s="29" t="n">
        <x:f>'Torrent history'!F8</x:f>
        <x:v>0.11514269528021925</x:v>
      </x:c>
      <x:c r="G8" s="29" t="n">
        <x:f>'Torrent history'!G8</x:f>
        <x:v>0.07347704663753385</x:v>
      </x:c>
      <x:c r="H8" s="2"/>
      <x:c r="I8" s="2"/>
      <x:c r="J8" s="2"/>
    </x:row>
    <x:row r="9" ht="22" customHeight="1">
      <x:c r="A9" s="2"/>
      <x:c r="B9" s="38" t="str">
        <x:v>Operating EBITDA</x:v>
      </x:c>
      <x:c r="C9" s="41" t="n">
        <x:f>'Torrent history'!C14</x:f>
        <x:v>2485.6800000000003</x:v>
      </x:c>
      <x:c r="D9" s="41" t="n">
        <x:f>'Torrent history'!D14</x:f>
        <x:v>2431.270000000001</x:v>
      </x:c>
      <x:c r="E9" s="41" t="n">
        <x:f>'Torrent history'!E14</x:f>
        <x:v>2842.049999999999</x:v>
      </x:c>
      <x:c r="F9" s="41" t="n">
        <x:f>'Torrent history'!F14</x:f>
        <x:v>3367.6499999999996</x:v>
      </x:c>
      <x:c r="G9" s="41" t="n">
        <x:f>'Torrent history'!G14</x:f>
        <x:v>3720.9900000000007</x:v>
      </x:c>
      <x:c r="H9" s="2"/>
      <x:c r="I9" s="2"/>
      <x:c r="J9" s="2"/>
    </x:row>
    <x:row r="10" ht="22" customHeight="1">
      <x:c r="A10" s="2"/>
      <x:c r="B10" s="2" t="str">
        <x:v>Operating EBITDA margin</x:v>
      </x:c>
      <x:c r="C10" s="29" t="n">
        <x:f>'Torrent history'!C15</x:f>
        <x:v>0.31052252202732605</x:v>
      </x:c>
      <x:c r="D10" s="29" t="n">
        <x:f>'Torrent history'!D15</x:f>
        <x:v>0.2857614679761732</x:v>
      </x:c>
      <x:c r="E10" s="29" t="n">
        <x:f>'Torrent history'!E15</x:f>
        <x:v>0.2954267864846181</x:v>
      </x:c>
      <x:c r="F10" s="29" t="n">
        <x:f>'Torrent history'!F15</x:f>
        <x:v>0.31391687422631204</x:v>
      </x:c>
      <x:c r="G10" s="29" t="n">
        <x:f>'Torrent history'!G15</x:f>
        <x:v>0.3231122716130215</x:v>
      </x:c>
      <x:c r="H10" s="2"/>
      <x:c r="I10" s="2"/>
      <x:c r="J10" s="2"/>
    </x:row>
    <x:row r="11" ht="22" customHeight="1">
      <x:c r="A11" s="2"/>
      <x:c r="B11" s="38" t="str">
        <x:v>PAT attributable to owners</x:v>
      </x:c>
      <x:c r="C11" s="41" t="n">
        <x:f>'Torrent history'!C28</x:f>
        <x:v>1251.88</x:v>
      </x:c>
      <x:c r="D11" s="41" t="n">
        <x:f>'Torrent history'!D28</x:f>
        <x:v>777.18</x:v>
      </x:c>
      <x:c r="E11" s="41" t="n">
        <x:f>'Torrent history'!E28</x:f>
        <x:v>1245.23</x:v>
      </x:c>
      <x:c r="F11" s="41" t="n">
        <x:f>'Torrent history'!F28</x:f>
        <x:v>1656.38</x:v>
      </x:c>
      <x:c r="G11" s="41" t="n">
        <x:f>'Torrent history'!G28</x:f>
        <x:v>1911.25</x:v>
      </x:c>
      <x:c r="H11" s="2"/>
      <x:c r="I11" s="2"/>
      <x:c r="J11" s="2"/>
    </x:row>
    <x:row r="12" ht="22" customHeight="1">
      <x:c r="A12" s="2"/>
      <x:c r="B12" s="2" t="str">
        <x:v>Operating cash flow</x:v>
      </x:c>
      <x:c r="C12" s="3" t="n">
        <x:f>'Torrent history'!C55</x:f>
        <x:v>2010.69</x:v>
      </x:c>
      <x:c r="D12" s="3" t="n">
        <x:f>'Torrent history'!D55</x:f>
        <x:v>1802.99</x:v>
      </x:c>
      <x:c r="E12" s="3" t="n">
        <x:f>'Torrent history'!E55</x:f>
        <x:v>2368.13</x:v>
      </x:c>
      <x:c r="F12" s="3" t="n">
        <x:f>'Torrent history'!F55</x:f>
        <x:v>3266.08</x:v>
      </x:c>
      <x:c r="G12" s="3" t="n">
        <x:f>'Torrent history'!G55</x:f>
        <x:v>2585.11</x:v>
      </x:c>
      <x:c r="H12" s="2"/>
      <x:c r="I12" s="2"/>
      <x:c r="J12" s="2"/>
    </x:row>
    <x:row r="13" ht="22" customHeight="1">
      <x:c r="A13" s="2"/>
      <x:c r="B13" s="2" t="str">
        <x:v>Cash flow after capex</x:v>
      </x:c>
      <x:c r="C13" s="3" t="n">
        <x:f>'Torrent history'!C60</x:f>
        <x:v>1675.54</x:v>
      </x:c>
      <x:c r="D13" s="3" t="n">
        <x:f>'Torrent history'!D60</x:f>
        <x:v>1600.42</x:v>
      </x:c>
      <x:c r="E13" s="3" t="n">
        <x:f>'Torrent history'!E60</x:f>
        <x:v>1794.19</x:v>
      </x:c>
      <x:c r="F13" s="3" t="n">
        <x:f>'Torrent history'!F60</x:f>
        <x:v>2833.3</x:v>
      </x:c>
      <x:c r="G13" s="3" t="n">
        <x:f>'Torrent history'!G60</x:f>
        <x:v>1973.2400000000002</x:v>
      </x:c>
      <x:c r="H13" s="2"/>
      <x:c r="I13" s="2"/>
      <x:c r="J13" s="2"/>
    </x:row>
    <x:row r="14" ht="22" customHeight="1">
      <x:c r="A14" s="2"/>
      <x:c r="B14" s="2" t="str">
        <x:v>Net debt / (net cash), excluding leases</x:v>
      </x:c>
      <x:c r="C14" s="3" t="n">
        <x:f>'Torrent history'!C45</x:f>
        <x:v>4113.87</x:v>
      </x:c>
      <x:c r="D14" s="3" t="n">
        <x:f>'Torrent history'!D45</x:f>
        <x:v>3435.74</x:v>
      </x:c>
      <x:c r="E14" s="3" t="n">
        <x:f>'Torrent history'!E45</x:f>
        <x:v>4632.709999999999</x:v>
      </x:c>
      <x:c r="F14" s="3" t="n">
        <x:f>'Torrent history'!F45</x:f>
        <x:v>2961.32</x:v>
      </x:c>
      <x:c r="G14" s="3" t="n">
        <x:f>'Torrent history'!G45</x:f>
        <x:v>2340.4</x:v>
      </x:c>
      <x:c r="H14" s="2"/>
      <x:c r="I14" s="2"/>
      <x:c r="J14" s="2"/>
    </x:row>
    <x:row r="15" ht="22" customHeight="1">
      <x:c r="A15" s="2"/>
      <x:c r="B15" s="2" t="str">
        <x:v>Basic EPS on FY25 share basis (INR)</x:v>
      </x:c>
      <x:c r="C15" s="35" t="n">
        <x:f>'Torrent history'!C76</x:f>
        <x:v>36.98912297355817</x:v>
      </x:c>
      <x:c r="D15" s="35" t="n">
        <x:f>'Torrent history'!D76</x:f>
        <x:v>22.963228578290195</x:v>
      </x:c>
      <x:c r="E15" s="35" t="n">
        <x:f>'Torrent history'!E76</x:f>
        <x:v>36.79263635521282</x:v>
      </x:c>
      <x:c r="F15" s="35" t="n">
        <x:f>'Torrent history'!F76</x:f>
        <x:v>48.940827803736994</x:v>
      </x:c>
      <x:c r="G15" s="35" t="n">
        <x:f>'Torrent history'!G76</x:f>
        <x:v>56.47143598684621</x:v>
      </x:c>
      <x:c r="H15" s="2"/>
      <x:c r="I15" s="2"/>
      <x:c r="J15" s="2"/>
    </x:row>
    <x:row r="16" ht="22" customHeight="1">
      <x:c r="A16" s="2"/>
      <x:c r="B16" s="2"/>
      <x:c r="C16" s="3"/>
      <x:c r="D16" s="3"/>
      <x:c r="E16" s="3"/>
      <x:c r="F16" s="3"/>
      <x:c r="G16" s="3"/>
      <x:c r="H16" s="2"/>
      <x:c r="I16" s="2"/>
      <x:c r="J16" s="2"/>
    </x:row>
    <x:row r="17" ht="22" customHeight="1">
      <x:c r="A17" s="2"/>
      <x:c r="B17" s="2"/>
      <x:c r="C17" s="3"/>
      <x:c r="D17" s="3"/>
      <x:c r="E17" s="3"/>
      <x:c r="F17" s="3"/>
      <x:c r="G17" s="3"/>
      <x:c r="H17" s="2"/>
      <x:c r="I17" s="2"/>
      <x:c r="J17" s="2"/>
    </x:row>
    <x:row r="18" ht="22" customHeight="1">
      <x:c r="A18" s="2"/>
      <x:c r="B18" s="2"/>
      <x:c r="C18" s="3"/>
      <x:c r="D18" s="3"/>
      <x:c r="E18" s="3"/>
      <x:c r="F18" s="3"/>
      <x:c r="G18" s="3"/>
      <x:c r="H18" s="2"/>
      <x:c r="I18" s="2"/>
      <x:c r="J18" s="2"/>
    </x:row>
    <x:row r="19" ht="25" customHeight="1">
      <x:c r="A19" s="2"/>
      <x:c r="B19" s="17" t="str">
        <x:v>JB PHARMA</x:v>
      </x:c>
      <x:c r="C19" s="18"/>
      <x:c r="D19" s="18"/>
      <x:c r="E19" s="18"/>
      <x:c r="F19" s="18"/>
      <x:c r="G19" s="18"/>
      <x:c r="H19" s="2"/>
      <x:c r="I19" s="2"/>
      <x:c r="J19" s="2"/>
    </x:row>
    <x:row r="20" ht="22" customHeight="1">
      <x:c r="A20" s="2"/>
      <x:c r="B20" s="38" t="str">
        <x:v>Revenue</x:v>
      </x:c>
      <x:c r="C20" s="41" t="n">
        <x:f>'JB history'!C7</x:f>
        <x:v>2042.5214999999998</x:v>
      </x:c>
      <x:c r="D20" s="41" t="n">
        <x:f>'JB history'!D7</x:f>
        <x:v>2424.2438</x:v>
      </x:c>
      <x:c r="E20" s="41" t="n">
        <x:f>'JB history'!E7</x:f>
        <x:v>3149.2828000000004</x:v>
      </x:c>
      <x:c r="F20" s="41" t="n">
        <x:f>'JB history'!F7</x:f>
        <x:v>3484.1838000000002</x:v>
      </x:c>
      <x:c r="G20" s="41" t="n">
        <x:f>'JB history'!G7</x:f>
        <x:v>3917.9885999999997</x:v>
      </x:c>
      <x:c r="H20" s="2"/>
      <x:c r="I20" s="2"/>
      <x:c r="J20" s="2"/>
    </x:row>
    <x:row r="21" ht="22" customHeight="1">
      <x:c r="A21" s="2"/>
      <x:c r="B21" s="2" t="str">
        <x:v>Revenue growth</x:v>
      </x:c>
      <x:c r="C21" s="29" t="str">
        <x:f>'JB history'!C8</x:f>
        <x:v>n/a</x:v>
      </x:c>
      <x:c r="D21" s="29" t="n">
        <x:f>'JB history'!D8</x:f>
        <x:v>0.18688777572231197</x:v>
      </x:c>
      <x:c r="E21" s="29" t="n">
        <x:f>'JB history'!E8</x:f>
        <x:v>0.29907841777299793</x:v>
      </x:c>
      <x:c r="F21" s="29" t="n">
        <x:f>'JB history'!F8</x:f>
        <x:v>0.10634198999213407</x:v>
      </x:c>
      <x:c r="G21" s="29" t="n">
        <x:f>'JB history'!G8</x:f>
        <x:v>0.12450686441972425</x:v>
      </x:c>
      <x:c r="H21" s="2"/>
      <x:c r="I21" s="2"/>
      <x:c r="J21" s="2"/>
    </x:row>
    <x:row r="22" ht="22" customHeight="1">
      <x:c r="A22" s="2"/>
      <x:c r="B22" s="38" t="str">
        <x:v>Operating EBITDA</x:v>
      </x:c>
      <x:c r="C22" s="41" t="n">
        <x:f>'JB history'!C14</x:f>
        <x:v>560.4089000000001</x:v>
      </x:c>
      <x:c r="D22" s="41" t="n">
        <x:f>'JB history'!D14</x:f>
        <x:v>543.4561000000001</x:v>
      </x:c>
      <x:c r="E22" s="41" t="n">
        <x:f>'JB history'!E14</x:f>
        <x:v>695.7525000000004</x:v>
      </x:c>
      <x:c r="F22" s="41" t="n">
        <x:f>'JB history'!F14</x:f>
        <x:v>896.8903000000005</x:v>
      </x:c>
      <x:c r="G22" s="41" t="n">
        <x:f>'JB history'!G14</x:f>
        <x:v>1031.8384999999998</x:v>
      </x:c>
      <x:c r="H22" s="2"/>
      <x:c r="I22" s="2"/>
      <x:c r="J22" s="2"/>
    </x:row>
    <x:row r="23" ht="22" customHeight="1">
      <x:c r="A23" s="2"/>
      <x:c r="B23" s="2" t="str">
        <x:v>Operating EBITDA margin</x:v>
      </x:c>
      <x:c r="C23" s="29" t="n">
        <x:f>'JB history'!C15</x:f>
        <x:v>0.27437111433098754</x:v>
      </x:c>
      <x:c r="D23" s="29" t="n">
        <x:f>'JB history'!D15</x:f>
        <x:v>0.22417551403039582</x:v>
      </x:c>
      <x:c r="E23" s="29" t="n">
        <x:f>'JB history'!E15</x:f>
        <x:v>0.22092411008627116</x:v>
      </x:c>
      <x:c r="F23" s="29" t="n">
        <x:f>'JB history'!F15</x:f>
        <x:v>0.25741761958711834</x:v>
      </x:c>
      <x:c r="G23" s="29" t="n">
        <x:f>'JB history'!G15</x:f>
        <x:v>0.2633592399937049</x:v>
      </x:c>
      <x:c r="H23" s="2"/>
      <x:c r="I23" s="2"/>
      <x:c r="J23" s="2"/>
    </x:row>
    <x:row r="24" ht="22" customHeight="1">
      <x:c r="A24" s="2"/>
      <x:c r="B24" s="38" t="str">
        <x:v>PAT attributable to owners</x:v>
      </x:c>
      <x:c r="C24" s="41" t="n">
        <x:f>'JB history'!C28</x:f>
        <x:v>447.9636</x:v>
      </x:c>
      <x:c r="D24" s="41" t="n">
        <x:f>'JB history'!D28</x:f>
        <x:v>385.3574</x:v>
      </x:c>
      <x:c r="E24" s="41" t="n">
        <x:f>'JB history'!E28</x:f>
        <x:v>409.8355</x:v>
      </x:c>
      <x:c r="F24" s="41" t="n">
        <x:f>'JB history'!F28</x:f>
        <x:v>552.6278</x:v>
      </x:c>
      <x:c r="G24" s="41" t="n">
        <x:f>'JB history'!G28</x:f>
        <x:v>659.5817999999999</x:v>
      </x:c>
      <x:c r="H24" s="2"/>
      <x:c r="I24" s="2"/>
      <x:c r="J24" s="2"/>
    </x:row>
    <x:row r="25" ht="22" customHeight="1">
      <x:c r="A25" s="2"/>
      <x:c r="B25" s="2" t="str">
        <x:v>Operating cash flow</x:v>
      </x:c>
      <x:c r="C25" s="3" t="n">
        <x:f>'JB history'!C55</x:f>
        <x:v>314.7849</x:v>
      </x:c>
      <x:c r="D25" s="3" t="n">
        <x:f>'JB history'!D55</x:f>
        <x:v>170.1345</x:v>
      </x:c>
      <x:c r="E25" s="3" t="n">
        <x:f>'JB history'!E55</x:f>
        <x:v>625.6120999999999</x:v>
      </x:c>
      <x:c r="F25" s="3" t="n">
        <x:f>'JB history'!F55</x:f>
        <x:v>800.6116999999999</x:v>
      </x:c>
      <x:c r="G25" s="3" t="n">
        <x:f>'JB history'!G55</x:f>
        <x:v>902.4498</x:v>
      </x:c>
      <x:c r="H25" s="2"/>
      <x:c r="I25" s="2"/>
      <x:c r="J25" s="2"/>
    </x:row>
    <x:row r="26" ht="22" customHeight="1">
      <x:c r="A26" s="2"/>
      <x:c r="B26" s="2" t="str">
        <x:v>Cash flow after capex</x:v>
      </x:c>
      <x:c r="C26" s="3" t="n">
        <x:f>'JB history'!C60</x:f>
        <x:v>267.01189999999997</x:v>
      </x:c>
      <x:c r="D26" s="3" t="n">
        <x:f>'JB history'!D60</x:f>
        <x:v>-536.6546999999999</x:v>
      </x:c>
      <x:c r="E26" s="3" t="n">
        <x:f>'JB history'!E60</x:f>
        <x:v>-139.33489999999995</x:v>
      </x:c>
      <x:c r="F26" s="3" t="n">
        <x:f>'JB history'!F60</x:f>
        <x:v>539.2447</x:v>
      </x:c>
      <x:c r="G26" s="3" t="n">
        <x:f>'JB history'!G60</x:f>
        <x:v>782.1437</x:v>
      </x:c>
      <x:c r="H26" s="2"/>
      <x:c r="I26" s="2"/>
      <x:c r="J26" s="2"/>
    </x:row>
    <x:row r="27" ht="22" customHeight="1">
      <x:c r="A27" s="2"/>
      <x:c r="B27" s="2" t="str">
        <x:v>Net debt / (net cash), excluding leases</x:v>
      </x:c>
      <x:c r="C27" s="3" t="n">
        <x:f>'JB history'!C45</x:f>
        <x:v>-661.0156999999999</x:v>
      </x:c>
      <x:c r="D27" s="3" t="n">
        <x:f>'JB history'!D45</x:f>
        <x:v>-30.2291</x:v>
      </x:c>
      <x:c r="E27" s="3" t="n">
        <x:f>'JB history'!E45</x:f>
        <x:v>279.1194</x:v>
      </x:c>
      <x:c r="F27" s="3" t="n">
        <x:f>'JB history'!F45</x:f>
        <x:v>-95.72419999999994</x:v>
      </x:c>
      <x:c r="G27" s="3" t="n">
        <x:f>'JB history'!G45</x:f>
        <x:v>-418.39570000000003</x:v>
      </x:c>
      <x:c r="H27" s="2"/>
      <x:c r="I27" s="2"/>
      <x:c r="J27" s="2"/>
    </x:row>
    <x:row r="28" ht="22" customHeight="1">
      <x:c r="A28" s="2"/>
      <x:c r="B28" s="2" t="str">
        <x:v>Basic EPS on FY25 share basis (INR)</x:v>
      </x:c>
      <x:c r="C28" s="35" t="n">
        <x:f>'JB history'!C76</x:f>
        <x:v>28.982365734718613</x:v>
      </x:c>
      <x:c r="D28" s="35" t="n">
        <x:f>'JB history'!D76</x:f>
        <x:v>24.931867467312642</x:v>
      </x:c>
      <x:c r="E28" s="35" t="n">
        <x:f>'JB history'!E76</x:f>
        <x:v>26.500842321425303</x:v>
      </x:c>
      <x:c r="F28" s="35" t="n">
        <x:f>'JB history'!F76</x:f>
        <x:v>35.664561175879</x:v>
      </x:c>
      <x:c r="G28" s="35" t="n">
        <x:f>'JB history'!G76</x:f>
        <x:v>42.45375822384845</x:v>
      </x:c>
      <x:c r="H28" s="2"/>
      <x:c r="I28" s="2"/>
      <x:c r="J28" s="2"/>
    </x:row>
    <x:row r="29" ht="22" customHeight="1">
      <x:c r="A29" s="2"/>
      <x:c r="B29" s="2"/>
      <x:c r="C29" s="3"/>
      <x:c r="D29" s="3"/>
      <x:c r="E29" s="3"/>
      <x:c r="F29" s="3"/>
      <x:c r="G29" s="3"/>
      <x:c r="H29" s="2"/>
      <x:c r="I29" s="2"/>
      <x:c r="J29" s="2"/>
    </x:row>
    <x:row r="30" ht="22" customHeight="1">
      <x:c r="A30" s="2"/>
      <x:c r="B30" s="2"/>
      <x:c r="C30" s="3"/>
      <x:c r="D30" s="3"/>
      <x:c r="E30" s="3"/>
      <x:c r="F30" s="3"/>
      <x:c r="G30" s="3"/>
      <x:c r="H30" s="2"/>
      <x:c r="I30" s="2"/>
      <x:c r="J30" s="2"/>
    </x:row>
    <x:row r="31" ht="25" customHeight="1">
      <x:c r="A31" s="2"/>
      <x:c r="B31" s="17" t="str">
        <x:v>FY25 SNAPSHOT &amp; HISTORICAL GROWTH</x:v>
      </x:c>
      <x:c r="C31" s="18"/>
      <x:c r="D31" s="18"/>
      <x:c r="E31" s="18"/>
      <x:c r="F31" s="18"/>
      <x:c r="G31" s="18"/>
      <x:c r="H31" s="2"/>
      <x:c r="I31" s="2"/>
      <x:c r="J31" s="2"/>
    </x:row>
    <x:row r="32" ht="25" customHeight="1">
      <x:c r="A32" s="2"/>
      <x:c r="B32" s="2" t="str">
        <x:v>Company</x:v>
      </x:c>
      <x:c r="C32" s="3" t="str">
        <x:v>Torrent</x:v>
      </x:c>
      <x:c r="D32" s="3" t="str">
        <x:v>JB</x:v>
      </x:c>
      <x:c r="E32" s="3"/>
      <x:c r="F32" s="3"/>
      <x:c r="G32" s="3"/>
      <x:c r="H32" s="2"/>
      <x:c r="I32" s="2"/>
      <x:c r="J32" s="2"/>
    </x:row>
    <x:row r="33" ht="25" customHeight="1">
      <x:c r="A33" s="2"/>
      <x:c r="B33" s="2" t="str">
        <x:v>Revenue CAGR, FY21–FY25</x:v>
      </x:c>
      <x:c r="C33" s="29" t="n">
        <x:f>('Torrent history'!G7/'Torrent history'!C7)^(1/4)-1</x:f>
        <x:v>0.09518688463919767</x:v>
      </x:c>
      <x:c r="D33" s="29" t="n">
        <x:f>('JB history'!G7/'JB history'!C7)^(1/4)-1</x:f>
        <x:v>0.17685818673684217</x:v>
      </x:c>
      <x:c r="E33" s="3"/>
      <x:c r="F33" s="3"/>
      <x:c r="G33" s="3"/>
      <x:c r="H33" s="2"/>
      <x:c r="I33" s="2"/>
      <x:c r="J33" s="2"/>
    </x:row>
    <x:row r="34" ht="25" customHeight="1">
      <x:c r="A34" s="2"/>
      <x:c r="B34" s="2" t="str">
        <x:v>EBITDA CAGR, FY21–FY25</x:v>
      </x:c>
      <x:c r="C34" s="29" t="n">
        <x:f>('Torrent history'!G14/'Torrent history'!C14)^(1/4)-1</x:f>
        <x:v>0.10612274116319509</x:v>
      </x:c>
      <x:c r="D34" s="29" t="n">
        <x:f>('JB history'!G14/'JB history'!C14)^(1/4)-1</x:f>
        <x:v>0.16486789579925176</x:v>
      </x:c>
      <x:c r="E34" s="3"/>
      <x:c r="F34" s="3"/>
      <x:c r="G34" s="3"/>
      <x:c r="H34" s="2"/>
      <x:c r="I34" s="2"/>
      <x:c r="J34" s="2"/>
    </x:row>
    <x:row r="35" ht="25" customHeight="1">
      <x:c r="A35" s="2"/>
      <x:c r="B35" s="2" t="str">
        <x:v>India business / total revenue</x:v>
      </x:c>
      <x:c r="C35" s="29" t="n">
        <x:f>'Torrent inputs'!G67/'Torrent inputs'!$C$64/'Torrent history'!G7</x:f>
        <x:v>0.5551363353360386</x:v>
      </x:c>
      <x:c r="D35" s="29" t="n">
        <x:f>'JB inputs'!G67/'JB inputs'!$C$64/'JB history'!G7</x:f>
        <x:v>0.5790727926058795</x:v>
      </x:c>
      <x:c r="E35" s="3"/>
      <x:c r="F35" s="3"/>
      <x:c r="G35" s="3"/>
      <x:c r="H35" s="2"/>
      <x:c r="I35" s="2"/>
      <x:c r="J35" s="2"/>
    </x:row>
    <x:row r="36" ht="25" customHeight="1">
      <x:c r="A36" s="2"/>
      <x:c r="B36" s="2" t="str">
        <x:v>EBITDA margin before ESOP</x:v>
      </x:c>
      <x:c r="C36" s="29" t="n">
        <x:f>'Torrent history'!G18</x:f>
        <x:v>0.3231122716130215</x:v>
      </x:c>
      <x:c r="D36" s="29" t="n">
        <x:f>'JB history'!G18</x:f>
        <x:v>0.2773721955188945</x:v>
      </x:c>
      <x:c r="E36" s="3"/>
      <x:c r="F36" s="3"/>
      <x:c r="G36" s="3"/>
      <x:c r="H36" s="2"/>
      <x:c r="I36" s="2"/>
      <x:c r="J36" s="2"/>
    </x:row>
    <x:row r="37" ht="25" customHeight="1">
      <x:c r="A37" s="2"/>
      <x:c r="B37" s="2" t="str">
        <x:v>Operating cash flow / operating EBITDA</x:v>
      </x:c>
      <x:c r="C37" s="29" t="n">
        <x:f>'Torrent history'!G56</x:f>
        <x:v>0.6947371532844753</x:v>
      </x:c>
      <x:c r="D37" s="29" t="n">
        <x:f>'JB history'!G56</x:f>
        <x:v>0.8746037291688574</x:v>
      </x:c>
      <x:c r="E37" s="3"/>
      <x:c r="F37" s="3"/>
      <x:c r="G37" s="3"/>
      <x:c r="H37" s="2"/>
      <x:c r="I37" s="2"/>
      <x:c r="J37" s="2"/>
    </x:row>
    <x:row r="38" ht="22" customHeight="1">
      <x:c r="A38" s="2"/>
      <x:c r="B38" s="2"/>
      <x:c r="C38" s="3"/>
      <x:c r="D38" s="3"/>
      <x:c r="E38" s="3"/>
      <x:c r="F38" s="3"/>
      <x:c r="G38" s="3"/>
      <x:c r="H38" s="2"/>
      <x:c r="I38" s="2"/>
      <x:c r="J38" s="2"/>
    </x:row>
    <x:row r="39" ht="42" customHeight="1">
      <x:c r="A39" s="2"/>
      <x:c r="B39" s="8" t="str">
        <x:v>Start with the Walkthrough tab. Source inputs preserve each report’s original units; the history tabs convert all monetary figures to INR crore and calculate the analysis.</x:v>
      </x:c>
      <x:c r="C39" s="9"/>
      <x:c r="D39" s="9"/>
      <x:c r="E39" s="9"/>
      <x:c r="F39" s="9"/>
      <x:c r="G39" s="9"/>
      <x:c r="H39" s="2"/>
      <x:c r="I39" s="2"/>
      <x:c r="J39" s="2"/>
    </x:row>
    <x:row r="40" ht="38" customHeight="1">
      <x:c r="A40" s="2"/>
      <x:c r="B40" s="8" t="str">
        <x:v>The historical base separates reported operating earnings, ESOP adjustments, acquisition spending and cash definitions before forecasting the transaction.</x:v>
      </x:c>
      <x:c r="C40" s="9"/>
      <x:c r="D40" s="9"/>
      <x:c r="E40" s="9"/>
      <x:c r="F40" s="9"/>
      <x:c r="G40" s="9"/>
      <x:c r="H40" s="2"/>
      <x:c r="I40" s="2"/>
      <x:c r="J40" s="2"/>
    </x:row>
    <x:row r="41" ht="22" customHeight="1">
      <x:c r="A41" s="2"/>
      <x:c r="B41" s="2"/>
      <x:c r="C41" s="3"/>
      <x:c r="D41" s="3"/>
      <x:c r="E41" s="3"/>
      <x:c r="F41" s="3"/>
      <x:c r="G41" s="3"/>
      <x:c r="H41" s="2"/>
      <x:c r="I41" s="2"/>
      <x:c r="J41" s="2"/>
    </x:row>
    <x:row r="42" ht="22" customHeight="1">
      <x:c r="A42" s="2"/>
      <x:c r="B42" s="2"/>
      <x:c r="C42" s="3"/>
      <x:c r="D42" s="3"/>
      <x:c r="E42" s="3"/>
      <x:c r="F42" s="3"/>
      <x:c r="G42" s="3"/>
      <x:c r="H42" s="2"/>
      <x:c r="I42" s="2"/>
      <x:c r="J42" s="2"/>
    </x:row>
    <x:row r="43" ht="22" customHeight="1">
      <x:c r="A43" s="2"/>
      <x:c r="B43" s="2"/>
      <x:c r="C43" s="3"/>
      <x:c r="D43" s="3"/>
      <x:c r="E43" s="3"/>
      <x:c r="F43" s="3"/>
      <x:c r="G43" s="3"/>
      <x:c r="H43" s="2"/>
      <x:c r="I43" s="2"/>
      <x:c r="J43" s="2" t="str">
        <x:v>Chart data (linked)</x:v>
      </x:c>
    </x:row>
    <x:row r="44" ht="22" customHeight="1">
      <x:c r="A44" s="2"/>
      <x:c r="B44" s="2"/>
      <x:c r="C44" s="3"/>
      <x:c r="D44" s="3"/>
      <x:c r="E44" s="3"/>
      <x:c r="F44" s="3"/>
      <x:c r="G44" s="3"/>
      <x:c r="H44" s="2"/>
      <x:c r="I44" s="2"/>
      <x:c r="J44" s="2" t="str">
        <x:v>Year</x:v>
      </x:c>
      <x:c r="K44" t="str">
        <x:v>Torrent margin</x:v>
      </x:c>
      <x:c r="L44" t="str">
        <x:v>JB margin</x:v>
      </x:c>
    </x:row>
    <x:row r="45" ht="22" customHeight="1">
      <x:c r="A45" s="2"/>
      <x:c r="B45" s="2"/>
      <x:c r="C45" s="3"/>
      <x:c r="D45" s="3"/>
      <x:c r="E45" s="3"/>
      <x:c r="F45" s="3"/>
      <x:c r="G45" s="3"/>
      <x:c r="H45" s="2"/>
      <x:c r="I45" s="2"/>
      <x:c r="J45" s="2" t="str">
        <x:v>FY21</x:v>
      </x:c>
      <x:c r="K45" s="44" t="n">
        <x:f>'Torrent history'!C15</x:f>
        <x:v>0.31052252202732605</x:v>
      </x:c>
      <x:c r="L45" s="44" t="n">
        <x:f>'JB history'!C15</x:f>
        <x:v>0.27437111433098754</x:v>
      </x:c>
    </x:row>
    <x:row r="46" ht="22" customHeight="1">
      <x:c r="A46" s="2"/>
      <x:c r="B46" s="2"/>
      <x:c r="C46" s="3"/>
      <x:c r="D46" s="3"/>
      <x:c r="E46" s="3"/>
      <x:c r="F46" s="3"/>
      <x:c r="G46" s="3"/>
      <x:c r="H46" s="2"/>
      <x:c r="I46" s="2"/>
      <x:c r="J46" s="2" t="str">
        <x:v>FY22</x:v>
      </x:c>
      <x:c r="K46" s="44" t="n">
        <x:f>'Torrent history'!D15</x:f>
        <x:v>0.2857614679761732</x:v>
      </x:c>
      <x:c r="L46" s="44" t="n">
        <x:f>'JB history'!D15</x:f>
        <x:v>0.22417551403039582</x:v>
      </x:c>
    </x:row>
    <x:row r="47" ht="22" customHeight="1">
      <x:c r="A47" s="2"/>
      <x:c r="B47" s="2"/>
      <x:c r="C47" s="3"/>
      <x:c r="D47" s="3"/>
      <x:c r="E47" s="3"/>
      <x:c r="F47" s="3"/>
      <x:c r="G47" s="3"/>
      <x:c r="H47" s="2"/>
      <x:c r="I47" s="2"/>
      <x:c r="J47" s="2" t="str">
        <x:v>FY23</x:v>
      </x:c>
      <x:c r="K47" s="44" t="n">
        <x:f>'Torrent history'!E15</x:f>
        <x:v>0.2954267864846181</x:v>
      </x:c>
      <x:c r="L47" s="44" t="n">
        <x:f>'JB history'!E15</x:f>
        <x:v>0.22092411008627116</x:v>
      </x:c>
    </x:row>
    <x:row r="48" ht="22" customHeight="1">
      <x:c r="A48" s="2"/>
      <x:c r="B48" s="2"/>
      <x:c r="C48" s="3"/>
      <x:c r="D48" s="3"/>
      <x:c r="E48" s="3"/>
      <x:c r="F48" s="3"/>
      <x:c r="G48" s="3"/>
      <x:c r="H48" s="2"/>
      <x:c r="I48" s="2"/>
      <x:c r="J48" s="2" t="str">
        <x:v>FY24</x:v>
      </x:c>
      <x:c r="K48" s="44" t="n">
        <x:f>'Torrent history'!F15</x:f>
        <x:v>0.31391687422631204</x:v>
      </x:c>
      <x:c r="L48" s="44" t="n">
        <x:f>'JB history'!F15</x:f>
        <x:v>0.25741761958711834</x:v>
      </x:c>
    </x:row>
    <x:row r="49" ht="22" customHeight="1">
      <x:c r="A49" s="2"/>
      <x:c r="B49" s="2"/>
      <x:c r="C49" s="3"/>
      <x:c r="D49" s="3"/>
      <x:c r="E49" s="3"/>
      <x:c r="F49" s="3"/>
      <x:c r="G49" s="3"/>
      <x:c r="H49" s="2"/>
      <x:c r="I49" s="2"/>
      <x:c r="J49" s="2" t="str">
        <x:v>FY25</x:v>
      </x:c>
      <x:c r="K49" s="44" t="n">
        <x:f>'Torrent history'!G15</x:f>
        <x:v>0.3231122716130215</x:v>
      </x:c>
      <x:c r="L49" s="44" t="n">
        <x:f>'JB history'!G15</x:f>
        <x:v>0.2633592399937049</x:v>
      </x:c>
    </x:row>
    <x:row r="50" ht="22" customHeight="1">
      <x:c r="A50" s="2"/>
      <x:c r="B50" s="2"/>
      <x:c r="C50" s="3"/>
      <x:c r="D50" s="3"/>
      <x:c r="E50" s="3"/>
      <x:c r="F50" s="3"/>
      <x:c r="G50" s="3"/>
      <x:c r="H50" s="2"/>
      <x:c r="I50" s="2"/>
      <x:c r="J50" s="2"/>
    </x:row>
    <x:row r="51" ht="22" customHeight="1">
      <x:c r="A51" s="2"/>
      <x:c r="B51" s="2"/>
      <x:c r="C51" s="3"/>
      <x:c r="D51" s="3"/>
      <x:c r="E51" s="3"/>
      <x:c r="F51" s="3"/>
      <x:c r="G51" s="3"/>
      <x:c r="H51" s="2"/>
      <x:c r="I51" s="2"/>
      <x:c r="J51" s="2"/>
    </x:row>
    <x:row r="52" ht="22" customHeight="1">
      <x:c r="A52" s="2"/>
      <x:c r="B52" s="2"/>
      <x:c r="C52" s="3"/>
      <x:c r="D52" s="3"/>
      <x:c r="E52" s="3"/>
      <x:c r="F52" s="3"/>
      <x:c r="G52" s="3"/>
      <x:c r="H52" s="2"/>
      <x:c r="I52" s="2"/>
      <x:c r="J52" s="2"/>
    </x:row>
    <x:row r="53" ht="22" customHeight="1">
      <x:c r="A53" s="2"/>
      <x:c r="B53" s="2"/>
      <x:c r="C53" s="3"/>
      <x:c r="D53" s="3"/>
      <x:c r="E53" s="3"/>
      <x:c r="F53" s="3"/>
      <x:c r="G53" s="3"/>
      <x:c r="H53" s="2"/>
      <x:c r="I53" s="2"/>
      <x:c r="J53" s="2"/>
    </x:row>
    <x:row r="54" ht="22" customHeight="1">
      <x:c r="A54" s="2"/>
      <x:c r="B54" s="2"/>
      <x:c r="C54" s="3"/>
      <x:c r="D54" s="3"/>
      <x:c r="E54" s="3"/>
      <x:c r="F54" s="3"/>
      <x:c r="G54" s="3"/>
      <x:c r="H54" s="2"/>
      <x:c r="I54" s="2"/>
      <x:c r="J54" s="2"/>
    </x:row>
    <x:row r="55" ht="22" customHeight="1">
      <x:c r="A55" s="2"/>
      <x:c r="B55" s="2"/>
      <x:c r="C55" s="3"/>
      <x:c r="D55" s="3"/>
      <x:c r="E55" s="3"/>
      <x:c r="F55" s="3"/>
      <x:c r="G55" s="3"/>
      <x:c r="H55" s="2"/>
      <x:c r="I55" s="2"/>
      <x:c r="J55" s="2"/>
    </x:row>
    <x:row r="56" ht="22" customHeight="1">
      <x:c r="A56" s="2"/>
      <x:c r="B56" s="2"/>
      <x:c r="C56" s="3"/>
      <x:c r="D56" s="3"/>
      <x:c r="E56" s="3"/>
      <x:c r="F56" s="3"/>
      <x:c r="G56" s="3"/>
      <x:c r="H56" s="2"/>
      <x:c r="I56" s="2"/>
      <x:c r="J56" s="2"/>
    </x:row>
    <x:row r="57" ht="22" customHeight="1">
      <x:c r="A57" s="2"/>
      <x:c r="B57" s="2"/>
      <x:c r="C57" s="3"/>
      <x:c r="D57" s="3"/>
      <x:c r="E57" s="3"/>
      <x:c r="F57" s="3"/>
      <x:c r="G57" s="3"/>
      <x:c r="H57" s="2"/>
      <x:c r="I57" s="2"/>
      <x:c r="J57" s="2"/>
    </x:row>
    <x:row r="58" ht="22" customHeight="1">
      <x:c r="A58" s="2"/>
      <x:c r="B58" s="2"/>
      <x:c r="C58" s="3"/>
      <x:c r="D58" s="3"/>
      <x:c r="E58" s="3"/>
      <x:c r="F58" s="3"/>
      <x:c r="G58" s="3"/>
      <x:c r="H58" s="2"/>
      <x:c r="I58" s="2"/>
      <x:c r="J58" s="2"/>
    </x:row>
    <x:row r="59" ht="22" customHeight="1">
      <x:c r="A59" s="2"/>
      <x:c r="B59" s="2"/>
      <x:c r="C59" s="3"/>
      <x:c r="D59" s="3"/>
      <x:c r="E59" s="3"/>
      <x:c r="F59" s="3"/>
      <x:c r="G59" s="3"/>
      <x:c r="H59" s="2"/>
      <x:c r="I59" s="2"/>
      <x:c r="J59" s="2"/>
    </x:row>
    <x:row r="60" ht="22" customHeight="1">
      <x:c r="A60" s="2"/>
      <x:c r="B60" s="2"/>
      <x:c r="C60" s="3"/>
      <x:c r="D60" s="3"/>
      <x:c r="E60" s="3"/>
      <x:c r="F60" s="3"/>
      <x:c r="G60" s="3"/>
      <x:c r="H60" s="2"/>
      <x:c r="I60" s="2"/>
      <x:c r="J60" s="2"/>
    </x:row>
    <x:row r="61" ht="38" customHeight="1">
      <x:c r="A61" s="2"/>
      <x:c r="B61" s="8" t="str">
        <x:v>Reading the trend: margins above include ESOP expense. Acquisition-led growth and changes in brand amortisation require separate judgement before setting forecast assumptions.</x:v>
      </x:c>
      <x:c r="C61" s="9"/>
      <x:c r="D61" s="9"/>
      <x:c r="E61" s="9"/>
      <x:c r="F61" s="9"/>
      <x:c r="G61" s="9"/>
      <x:c r="H61" s="2"/>
      <x:c r="I61" s="2"/>
      <x:c r="J61" s="2"/>
    </x:row>
    <x:row r="62" ht="22" customHeight="1">
      <x:c r="A62" s="2"/>
      <x:c r="B62" s="2"/>
      <x:c r="C62" s="3"/>
      <x:c r="D62" s="3"/>
      <x:c r="E62" s="3"/>
      <x:c r="F62" s="3"/>
      <x:c r="G62" s="3"/>
      <x:c r="H62" s="2"/>
      <x:c r="I62" s="2"/>
      <x:c r="J62" s="2"/>
    </x:row>
    <x:row r="63" ht="22" customHeight="1">
      <x:c r="A63" s="2"/>
      <x:c r="B63" s="2"/>
      <x:c r="C63" s="3"/>
      <x:c r="D63" s="3"/>
      <x:c r="E63" s="3"/>
      <x:c r="F63" s="3"/>
      <x:c r="G63" s="3"/>
      <x:c r="H63" s="2"/>
      <x:c r="I63" s="2"/>
      <x:c r="J63" s="2"/>
    </x:row>
    <x:row r="64" ht="22" customHeight="1">
      <x:c r="A64" s="2"/>
      <x:c r="B64" s="2"/>
      <x:c r="C64" s="3"/>
      <x:c r="D64" s="3"/>
      <x:c r="E64" s="3"/>
      <x:c r="F64" s="3"/>
      <x:c r="G64" s="3"/>
      <x:c r="H64" s="2"/>
      <x:c r="I64" s="2"/>
      <x:c r="J64" s="2"/>
    </x:row>
    <x:row r="65" ht="22" customHeight="1">
      <x:c r="A65" s="2"/>
      <x:c r="B65" s="2"/>
      <x:c r="C65" s="3"/>
      <x:c r="D65" s="3"/>
      <x:c r="E65" s="3"/>
      <x:c r="F65" s="3"/>
      <x:c r="G65" s="3"/>
      <x:c r="H65" s="2"/>
      <x:c r="I65" s="2"/>
      <x:c r="J65" s="2"/>
    </x:row>
    <x:row r="66" ht="22" customHeight="1">
      <x:c r="A66" s="2"/>
      <x:c r="B66" s="2"/>
      <x:c r="C66" s="3"/>
      <x:c r="D66" s="3"/>
      <x:c r="E66" s="3"/>
      <x:c r="F66" s="3"/>
      <x:c r="G66" s="3"/>
      <x:c r="H66" s="2"/>
      <x:c r="I66" s="2"/>
      <x:c r="J66" s="2"/>
    </x:row>
    <x:row r="67" ht="22" customHeight="1">
      <x:c r="A67" s="2"/>
      <x:c r="B67" s="2"/>
      <x:c r="C67" s="3"/>
      <x:c r="D67" s="3"/>
      <x:c r="E67" s="3"/>
      <x:c r="F67" s="3"/>
      <x:c r="G67" s="3"/>
      <x:c r="H67" s="2"/>
      <x:c r="I67" s="2"/>
      <x:c r="J67" s="2"/>
    </x:row>
    <x:row r="68" ht="22" customHeight="1">
      <x:c r="A68" s="2"/>
      <x:c r="B68" s="2"/>
      <x:c r="C68" s="3"/>
      <x:c r="D68" s="3"/>
      <x:c r="E68" s="3"/>
      <x:c r="F68" s="3"/>
      <x:c r="G68" s="3"/>
      <x:c r="H68" s="2"/>
      <x:c r="I68" s="2"/>
      <x:c r="J68" s="2"/>
    </x:row>
    <x:row r="69" ht="22" customHeight="1">
      <x:c r="A69" s="2"/>
      <x:c r="B69" s="2"/>
      <x:c r="C69" s="3"/>
      <x:c r="D69" s="3"/>
      <x:c r="E69" s="3"/>
      <x:c r="F69" s="3"/>
      <x:c r="G69" s="3"/>
      <x:c r="H69" s="2"/>
      <x:c r="I69" s="2"/>
      <x:c r="J69" s="2"/>
    </x:row>
    <x:row r="70" ht="22" customHeight="1">
      <x:c r="A70" s="2"/>
      <x:c r="B70" s="2"/>
      <x:c r="C70" s="3"/>
      <x:c r="D70" s="3"/>
      <x:c r="E70" s="3"/>
      <x:c r="F70" s="3"/>
      <x:c r="G70" s="3"/>
      <x:c r="H70" s="2"/>
      <x:c r="I70" s="2"/>
      <x:c r="J70" s="2"/>
    </x:row>
    <x:row r="71" ht="22" customHeight="1">
      <x:c r="A71" s="2"/>
      <x:c r="B71" s="2"/>
      <x:c r="C71" s="3"/>
      <x:c r="D71" s="3"/>
      <x:c r="E71" s="3"/>
      <x:c r="F71" s="3"/>
      <x:c r="G71" s="3"/>
      <x:c r="H71" s="2"/>
      <x:c r="I71" s="2"/>
      <x:c r="J71" s="2"/>
    </x:row>
    <x:row r="72" ht="22" customHeight="1">
      <x:c r="A72" s="2"/>
      <x:c r="B72" s="2"/>
      <x:c r="C72" s="3"/>
      <x:c r="D72" s="3"/>
      <x:c r="E72" s="3"/>
      <x:c r="F72" s="3"/>
      <x:c r="G72" s="3"/>
      <x:c r="H72" s="2"/>
      <x:c r="I72" s="2"/>
      <x:c r="J72" s="2"/>
    </x:row>
  </x:sheetData>
  <x:mergeCells>
    <x:mergeCell ref="B2:G2"/>
    <x:mergeCell ref="B3:G3"/>
    <x:mergeCell ref="B6:G6"/>
    <x:mergeCell ref="B19:G19"/>
    <x:mergeCell ref="B31:G31"/>
    <x:mergeCell ref="B39:G39"/>
    <x:mergeCell ref="B40:G40"/>
    <x:mergeCell ref="B61:G61"/>
  </x:mergeCells>
  <x:pageMargins left="0.7" right="0.7" top="0.75" bottom="0.75" header="0.3" footer="0.3"/>
  <x:drawing xmlns:r="http://schemas.openxmlformats.org/officeDocument/2006/relationships" r:id="Rc9d55d08ae284408"/>
</x:worksheet>
</file>

<file path=xl/worksheets/sheet2.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x:row>
    <x:row r="2" ht="38" customHeight="1">
      <x:c r="A2" s="2"/>
      <x:c r="B2" s="4" t="str">
        <x:v>Torrent | historical financials</x:v>
      </x:c>
      <x:c r="C2" s="5"/>
      <x:c r="D2" s="5"/>
      <x:c r="E2" s="5"/>
      <x:c r="F2" s="5"/>
      <x:c r="G2" s="5"/>
      <x:c r="H2" s="2"/>
      <x:c r="I2" s="2"/>
      <x:c r="J2" s="2"/>
    </x:row>
    <x:row r="3" ht="30" customHeight="1">
      <x:c r="A3" s="2"/>
      <x:c r="B3" s="8" t="str">
        <x:v>FY21–FY25 • consolidated • INR crore, except percentages, ratios and per-share data</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PROFITABILITY</x:v>
      </x:c>
      <x:c r="C6" s="18"/>
      <x:c r="D6" s="18"/>
      <x:c r="E6" s="18"/>
      <x:c r="F6" s="18"/>
      <x:c r="G6" s="18"/>
      <x:c r="H6" s="2"/>
      <x:c r="I6" s="2"/>
      <x:c r="J6" s="2"/>
    </x:row>
    <x:row r="7" ht="22" customHeight="1">
      <x:c r="A7" s="2"/>
      <x:c r="B7" s="38" t="str">
        <x:v>Revenue from operations</x:v>
      </x:c>
      <x:c r="C7" s="39" t="n">
        <x:f>'Torrent inputs'!C7/'Torrent inputs'!$C$64</x:f>
        <x:v>8004.83</x:v>
      </x:c>
      <x:c r="D7" s="39" t="n">
        <x:f>'Torrent inputs'!D7/'Torrent inputs'!$C$64</x:f>
        <x:v>8508.04</x:v>
      </x:c>
      <x:c r="E7" s="39" t="n">
        <x:f>'Torrent inputs'!E7/'Torrent inputs'!$C$64</x:f>
        <x:v>9620.15</x:v>
      </x:c>
      <x:c r="F7" s="39" t="n">
        <x:f>'Torrent inputs'!F7/'Torrent inputs'!$C$64</x:f>
        <x:v>10727.84</x:v>
      </x:c>
      <x:c r="G7" s="39" t="n">
        <x:f>'Torrent inputs'!G7/'Torrent inputs'!$C$64</x:f>
        <x:v>11516.09</x:v>
      </x:c>
      <x:c r="H7" s="2"/>
      <x:c r="I7" s="2"/>
      <x:c r="J7" s="2"/>
    </x:row>
    <x:row r="8" ht="22" customHeight="1">
      <x:c r="A8" s="2"/>
      <x:c r="B8" s="30" t="str">
        <x:v>Revenue growth</x:v>
      </x:c>
      <x:c r="C8" s="31" t="str">
        <x:v>n/a</x:v>
      </x:c>
      <x:c r="D8" s="31" t="n">
        <x:f>D7/C7-1</x:f>
        <x:v>0.06286329628486809</x:v>
      </x:c>
      <x:c r="E8" s="31" t="n">
        <x:f>E7/D7-1</x:f>
        <x:v>0.1307128316274957</x:v>
      </x:c>
      <x:c r="F8" s="31" t="n">
        <x:f>F7/E7-1</x:f>
        <x:v>0.11514269528021925</x:v>
      </x:c>
      <x:c r="G8" s="31" t="n">
        <x:f>G7/F7-1</x:f>
        <x:v>0.07347704663753385</x:v>
      </x:c>
      <x:c r="H8" s="2"/>
      <x:c r="I8" s="2"/>
      <x:c r="J8" s="2"/>
    </x:row>
    <x:row r="9" ht="22" customHeight="1">
      <x:c r="A9" s="2"/>
      <x:c r="B9" s="2" t="str">
        <x:v>Cost of goods sold</x:v>
      </x:c>
      <x:c r="C9" s="28" t="n">
        <x:f>('Torrent inputs'!C8+'Torrent inputs'!C9+'Torrent inputs'!C10)/'Torrent inputs'!$C$64</x:f>
        <x:v>2146.42</x:v>
      </x:c>
      <x:c r="D9" s="28" t="n">
        <x:f>('Torrent inputs'!D8+'Torrent inputs'!D9+'Torrent inputs'!D10)/'Torrent inputs'!$C$64</x:f>
        <x:v>2442.01</x:v>
      </x:c>
      <x:c r="E9" s="28" t="n">
        <x:f>('Torrent inputs'!E8+'Torrent inputs'!E9+'Torrent inputs'!E10)/'Torrent inputs'!$C$64</x:f>
        <x:v>2735.19</x:v>
      </x:c>
      <x:c r="F9" s="28" t="n">
        <x:f>('Torrent inputs'!F8+'Torrent inputs'!F9+'Torrent inputs'!F10)/'Torrent inputs'!$C$64</x:f>
        <x:v>2686.21</x:v>
      </x:c>
      <x:c r="G9" s="28" t="n">
        <x:f>('Torrent inputs'!G8+'Torrent inputs'!G9+'Torrent inputs'!G10)/'Torrent inputs'!$C$64</x:f>
        <x:v>2775.8999999999996</x:v>
      </x:c>
      <x:c r="H9" s="2"/>
      <x:c r="I9" s="2"/>
      <x:c r="J9" s="2"/>
    </x:row>
    <x:row r="10" ht="22" customHeight="1">
      <x:c r="A10" s="2"/>
      <x:c r="B10" s="38" t="str">
        <x:v>Gross profit</x:v>
      </x:c>
      <x:c r="C10" s="41" t="n">
        <x:f>C7-C9</x:f>
        <x:v>5858.41</x:v>
      </x:c>
      <x:c r="D10" s="41" t="n">
        <x:f>D7-D9</x:f>
        <x:v>6066.030000000001</x:v>
      </x:c>
      <x:c r="E10" s="41" t="n">
        <x:f>E7-E9</x:f>
        <x:v>6884.959999999999</x:v>
      </x:c>
      <x:c r="F10" s="41" t="n">
        <x:f>F7-F9</x:f>
        <x:v>8041.63</x:v>
      </x:c>
      <x:c r="G10" s="41" t="n">
        <x:f>G7-G9</x:f>
        <x:v>8740.19</x:v>
      </x:c>
      <x:c r="H10" s="2"/>
      <x:c r="I10" s="2"/>
      <x:c r="J10" s="2"/>
    </x:row>
    <x:row r="11" ht="22" customHeight="1">
      <x:c r="A11" s="2"/>
      <x:c r="B11" s="30" t="str">
        <x:v>Gross margin</x:v>
      </x:c>
      <x:c r="C11" s="31" t="n">
        <x:f>C10/C7</x:f>
        <x:v>0.7318593898933519</x:v>
      </x:c>
      <x:c r="D11" s="31" t="n">
        <x:f>D10/D7</x:f>
        <x:v>0.712976196632832</x:v>
      </x:c>
      <x:c r="E11" s="31" t="n">
        <x:f>E10/E7</x:f>
        <x:v>0.7156811484228416</x:v>
      </x:c>
      <x:c r="F11" s="31" t="n">
        <x:f>F10/F7</x:f>
        <x:v>0.7496038345090904</x:v>
      </x:c>
      <x:c r="G11" s="31" t="n">
        <x:f>G10/G7</x:f>
        <x:v>0.7589546451964165</x:v>
      </x:c>
      <x:c r="H11" s="2"/>
      <x:c r="I11" s="2"/>
      <x:c r="J11" s="2"/>
    </x:row>
    <x:row r="12" ht="22" customHeight="1">
      <x:c r="A12" s="2"/>
      <x:c r="B12" s="2" t="str">
        <x:v>Employee expense</x:v>
      </x:c>
      <x:c r="C12" s="28" t="n">
        <x:f>'Torrent inputs'!C11/'Torrent inputs'!$C$64</x:f>
        <x:v>1439.62</x:v>
      </x:c>
      <x:c r="D12" s="28" t="n">
        <x:f>'Torrent inputs'!D11/'Torrent inputs'!$C$64</x:f>
        <x:v>1526.45</x:v>
      </x:c>
      <x:c r="E12" s="28" t="n">
        <x:f>'Torrent inputs'!E11/'Torrent inputs'!$C$64</x:f>
        <x:v>1677.69</x:v>
      </x:c>
      <x:c r="F12" s="28" t="n">
        <x:f>'Torrent inputs'!F11/'Torrent inputs'!$C$64</x:f>
        <x:v>1984.4</x:v>
      </x:c>
      <x:c r="G12" s="28" t="n">
        <x:f>'Torrent inputs'!G11/'Torrent inputs'!$C$64</x:f>
        <x:v>2203.37</x:v>
      </x:c>
      <x:c r="H12" s="2"/>
      <x:c r="I12" s="2"/>
      <x:c r="J12" s="2"/>
    </x:row>
    <x:row r="13" ht="22" customHeight="1">
      <x:c r="A13" s="2"/>
      <x:c r="B13" s="2" t="str">
        <x:v>Other operating expenses</x:v>
      </x:c>
      <x:c r="C13" s="28" t="n">
        <x:f>'Torrent inputs'!C12/'Torrent inputs'!$C$64</x:f>
        <x:v>1933.11</x:v>
      </x:c>
      <x:c r="D13" s="28" t="n">
        <x:f>'Torrent inputs'!D12/'Torrent inputs'!$C$64</x:f>
        <x:v>2108.31</x:v>
      </x:c>
      <x:c r="E13" s="28" t="n">
        <x:f>'Torrent inputs'!E12/'Torrent inputs'!$C$64</x:f>
        <x:v>2365.22</x:v>
      </x:c>
      <x:c r="F13" s="28" t="n">
        <x:f>'Torrent inputs'!F12/'Torrent inputs'!$C$64</x:f>
        <x:v>2689.58</x:v>
      </x:c>
      <x:c r="G13" s="28" t="n">
        <x:f>'Torrent inputs'!G12/'Torrent inputs'!$C$64</x:f>
        <x:v>2815.83</x:v>
      </x:c>
      <x:c r="H13" s="2"/>
      <x:c r="I13" s="2"/>
      <x:c r="J13" s="2"/>
    </x:row>
    <x:row r="14" ht="22" customHeight="1">
      <x:c r="A14" s="2"/>
      <x:c r="B14" s="38" t="str">
        <x:v>Operating EBITDA</x:v>
      </x:c>
      <x:c r="C14" s="41" t="n">
        <x:f>C10-C12-C13</x:f>
        <x:v>2485.6800000000003</x:v>
      </x:c>
      <x:c r="D14" s="41" t="n">
        <x:f>D10-D12-D13</x:f>
        <x:v>2431.270000000001</x:v>
      </x:c>
      <x:c r="E14" s="41" t="n">
        <x:f>E10-E12-E13</x:f>
        <x:v>2842.049999999999</x:v>
      </x:c>
      <x:c r="F14" s="41" t="n">
        <x:f>F10-F12-F13</x:f>
        <x:v>3367.6499999999996</x:v>
      </x:c>
      <x:c r="G14" s="41" t="n">
        <x:f>G10-G12-G13</x:f>
        <x:v>3720.9900000000007</x:v>
      </x:c>
      <x:c r="H14" s="2"/>
      <x:c r="I14" s="2"/>
      <x:c r="J14" s="2"/>
    </x:row>
    <x:row r="15" ht="22" customHeight="1">
      <x:c r="A15" s="2"/>
      <x:c r="B15" s="30" t="str">
        <x:v>Operating EBITDA margin</x:v>
      </x:c>
      <x:c r="C15" s="31" t="n">
        <x:f>C14/C7</x:f>
        <x:v>0.31052252202732605</x:v>
      </x:c>
      <x:c r="D15" s="31" t="n">
        <x:f>D14/D7</x:f>
        <x:v>0.2857614679761732</x:v>
      </x:c>
      <x:c r="E15" s="31" t="n">
        <x:f>E14/E7</x:f>
        <x:v>0.2954267864846181</x:v>
      </x:c>
      <x:c r="F15" s="31" t="n">
        <x:f>F14/F7</x:f>
        <x:v>0.31391687422631204</x:v>
      </x:c>
      <x:c r="G15" s="31" t="n">
        <x:f>G14/G7</x:f>
        <x:v>0.3231122716130215</x:v>
      </x:c>
      <x:c r="H15" s="2"/>
      <x:c r="I15" s="2"/>
      <x:c r="J15" s="2"/>
    </x:row>
    <x:row r="16" ht="22" customHeight="1">
      <x:c r="A16" s="2"/>
      <x:c r="B16" s="2" t="str">
        <x:v>ESOP expense added back</x:v>
      </x:c>
      <x:c r="C16" s="28" t="n">
        <x:f>'Torrent inputs'!C21/'Torrent inputs'!$C$64</x:f>
        <x:v>0</x:v>
      </x:c>
      <x:c r="D16" s="28" t="n">
        <x:f>'Torrent inputs'!D21/'Torrent inputs'!$C$64</x:f>
        <x:v>0</x:v>
      </x:c>
      <x:c r="E16" s="28" t="n">
        <x:f>'Torrent inputs'!E21/'Torrent inputs'!$C$64</x:f>
        <x:v>0</x:v>
      </x:c>
      <x:c r="F16" s="28" t="n">
        <x:f>'Torrent inputs'!F21/'Torrent inputs'!$C$64</x:f>
        <x:v>0</x:v>
      </x:c>
      <x:c r="G16" s="28" t="n">
        <x:f>'Torrent inputs'!G21/'Torrent inputs'!$C$64</x:f>
        <x:v>0</x:v>
      </x:c>
      <x:c r="H16" s="2"/>
      <x:c r="I16" s="2"/>
      <x:c r="J16" s="2"/>
    </x:row>
    <x:row r="17" ht="22" customHeight="1">
      <x:c r="A17" s="2"/>
      <x:c r="B17" s="38" t="str">
        <x:v>EBITDA before ESOP expense</x:v>
      </x:c>
      <x:c r="C17" s="41" t="n">
        <x:f>C14+C16</x:f>
        <x:v>2485.6800000000003</x:v>
      </x:c>
      <x:c r="D17" s="41" t="n">
        <x:f>D14+D16</x:f>
        <x:v>2431.270000000001</x:v>
      </x:c>
      <x:c r="E17" s="41" t="n">
        <x:f>E14+E16</x:f>
        <x:v>2842.049999999999</x:v>
      </x:c>
      <x:c r="F17" s="41" t="n">
        <x:f>F14+F16</x:f>
        <x:v>3367.6499999999996</x:v>
      </x:c>
      <x:c r="G17" s="41" t="n">
        <x:f>G14+G16</x:f>
        <x:v>3720.9900000000007</x:v>
      </x:c>
      <x:c r="H17" s="2"/>
      <x:c r="I17" s="2"/>
      <x:c r="J17" s="2"/>
    </x:row>
    <x:row r="18" ht="22" customHeight="1">
      <x:c r="A18" s="2"/>
      <x:c r="B18" s="30" t="str">
        <x:v>EBITDA margin before ESOP</x:v>
      </x:c>
      <x:c r="C18" s="31" t="n">
        <x:f>C17/C7</x:f>
        <x:v>0.31052252202732605</x:v>
      </x:c>
      <x:c r="D18" s="31" t="n">
        <x:f>D17/D7</x:f>
        <x:v>0.2857614679761732</x:v>
      </x:c>
      <x:c r="E18" s="31" t="n">
        <x:f>E17/E7</x:f>
        <x:v>0.2954267864846181</x:v>
      </x:c>
      <x:c r="F18" s="31" t="n">
        <x:f>F17/F7</x:f>
        <x:v>0.31391687422631204</x:v>
      </x:c>
      <x:c r="G18" s="31" t="n">
        <x:f>G17/G7</x:f>
        <x:v>0.3231122716130215</x:v>
      </x:c>
      <x:c r="H18" s="2"/>
      <x:c r="I18" s="2"/>
      <x:c r="J18" s="2"/>
    </x:row>
    <x:row r="19" ht="22" customHeight="1">
      <x:c r="A19" s="2"/>
      <x:c r="B19" s="2" t="str">
        <x:v>Depreciation, amortisation &amp; impairment</x:v>
      </x:c>
      <x:c r="C19" s="28" t="n">
        <x:f>'Torrent inputs'!C13/'Torrent inputs'!$C$64</x:f>
        <x:v>657.79</x:v>
      </x:c>
      <x:c r="D19" s="28" t="n">
        <x:f>'Torrent inputs'!D13/'Torrent inputs'!$C$64</x:f>
        <x:v>662.16</x:v>
      </x:c>
      <x:c r="E19" s="28" t="n">
        <x:f>'Torrent inputs'!E13/'Torrent inputs'!$C$64</x:f>
        <x:v>706.59</x:v>
      </x:c>
      <x:c r="F19" s="28" t="n">
        <x:f>'Torrent inputs'!F13/'Torrent inputs'!$C$64</x:f>
        <x:v>808.27</x:v>
      </x:c>
      <x:c r="G19" s="28" t="n">
        <x:f>'Torrent inputs'!G13/'Torrent inputs'!$C$64</x:f>
        <x:v>794.93</x:v>
      </x:c>
      <x:c r="H19" s="2"/>
      <x:c r="I19" s="2"/>
      <x:c r="J19" s="2"/>
    </x:row>
    <x:row r="20" ht="22" customHeight="1">
      <x:c r="A20" s="2"/>
      <x:c r="B20" s="38" t="str">
        <x:v>Operating EBIT</x:v>
      </x:c>
      <x:c r="C20" s="41" t="n">
        <x:f>C14-C19</x:f>
        <x:v>1827.8900000000003</x:v>
      </x:c>
      <x:c r="D20" s="41" t="n">
        <x:f>D14-D19</x:f>
        <x:v>1769.110000000001</x:v>
      </x:c>
      <x:c r="E20" s="41" t="n">
        <x:f>E14-E19</x:f>
        <x:v>2135.4599999999987</x:v>
      </x:c>
      <x:c r="F20" s="41" t="n">
        <x:f>F14-F19</x:f>
        <x:v>2559.3799999999997</x:v>
      </x:c>
      <x:c r="G20" s="41" t="n">
        <x:f>G14-G19</x:f>
        <x:v>2926.060000000001</x:v>
      </x:c>
      <x:c r="H20" s="2"/>
      <x:c r="I20" s="2"/>
      <x:c r="J20" s="2"/>
    </x:row>
    <x:row r="21" ht="22" customHeight="1">
      <x:c r="A21" s="2"/>
      <x:c r="B21" s="2" t="str">
        <x:v>Other income</x:v>
      </x:c>
      <x:c r="C21" s="28" t="n">
        <x:f>'Torrent inputs'!C15/'Torrent inputs'!$C$64</x:f>
        <x:v>56.65</x:v>
      </x:c>
      <x:c r="D21" s="28" t="n">
        <x:f>'Torrent inputs'!D15/'Torrent inputs'!$C$64</x:f>
        <x:v>196.56</x:v>
      </x:c>
      <x:c r="E21" s="28" t="n">
        <x:f>'Torrent inputs'!E15/'Torrent inputs'!$C$64</x:f>
        <x:v>45.14</x:v>
      </x:c>
      <x:c r="F21" s="28" t="n">
        <x:f>'Torrent inputs'!F15/'Torrent inputs'!$C$64</x:f>
        <x:v>57.91</x:v>
      </x:c>
      <x:c r="G21" s="28" t="n">
        <x:f>'Torrent inputs'!G15/'Torrent inputs'!$C$64</x:f>
        <x:v>23.27</x:v>
      </x:c>
      <x:c r="H21" s="2"/>
      <x:c r="I21" s="2"/>
      <x:c r="J21" s="2"/>
    </x:row>
    <x:row r="22" ht="22" customHeight="1">
      <x:c r="A22" s="2"/>
      <x:c r="B22" s="2" t="str">
        <x:v>Finance costs</x:v>
      </x:c>
      <x:c r="C22" s="28" t="n">
        <x:f>'Torrent inputs'!C14/'Torrent inputs'!$C$64</x:f>
        <x:v>358.28</x:v>
      </x:c>
      <x:c r="D22" s="28" t="n">
        <x:f>'Torrent inputs'!D14/'Torrent inputs'!$C$64</x:f>
        <x:v>255.06</x:v>
      </x:c>
      <x:c r="E22" s="28" t="n">
        <x:f>'Torrent inputs'!E14/'Torrent inputs'!$C$64</x:f>
        <x:v>333.44</x:v>
      </x:c>
      <x:c r="F22" s="28" t="n">
        <x:f>'Torrent inputs'!F14/'Torrent inputs'!$C$64</x:f>
        <x:v>353.56</x:v>
      </x:c>
      <x:c r="G22" s="28" t="n">
        <x:f>'Torrent inputs'!G14/'Torrent inputs'!$C$64</x:f>
        <x:v>252.31</x:v>
      </x:c>
      <x:c r="H22" s="2"/>
      <x:c r="I22" s="2"/>
      <x:c r="J22" s="2"/>
    </x:row>
    <x:row r="23" ht="22" customHeight="1">
      <x:c r="A23" s="2"/>
      <x:c r="B23" s="2" t="str">
        <x:v>Exceptional expense / (gain)</x:v>
      </x:c>
      <x:c r="C23" s="28" t="n">
        <x:f>'Torrent inputs'!C16/'Torrent inputs'!$C$64</x:f>
        <x:v>0</x:v>
      </x:c>
      <x:c r="D23" s="28" t="n">
        <x:f>'Torrent inputs'!D16/'Torrent inputs'!$C$64</x:f>
        <x:v>484.7</x:v>
      </x:c>
      <x:c r="E23" s="28" t="n">
        <x:f>'Torrent inputs'!E16/'Torrent inputs'!$C$64</x:f>
        <x:v>0</x:v>
      </x:c>
      <x:c r="F23" s="28" t="n">
        <x:f>'Torrent inputs'!F16/'Torrent inputs'!$C$64</x:f>
        <x:v>-88.38</x:v>
      </x:c>
      <x:c r="G23" s="28" t="n">
        <x:f>'Torrent inputs'!G16/'Torrent inputs'!$C$64</x:f>
        <x:v>24.21</x:v>
      </x:c>
      <x:c r="H23" s="2"/>
      <x:c r="I23" s="2"/>
      <x:c r="J23" s="2"/>
    </x:row>
    <x:row r="24" ht="22" customHeight="1">
      <x:c r="A24" s="2"/>
      <x:c r="B24" s="38" t="str">
        <x:v>Profit before tax</x:v>
      </x:c>
      <x:c r="C24" s="41" t="n">
        <x:f>C20+C21-C22-C23</x:f>
        <x:v>1526.2600000000004</x:v>
      </x:c>
      <x:c r="D24" s="41" t="n">
        <x:f>D20+D21-D22-D23</x:f>
        <x:v>1225.910000000001</x:v>
      </x:c>
      <x:c r="E24" s="41" t="n">
        <x:f>E20+E21-E22-E23</x:f>
        <x:v>1847.1599999999985</x:v>
      </x:c>
      <x:c r="F24" s="41" t="n">
        <x:f>F20+F21-F22-F23</x:f>
        <x:v>2352.1099999999997</x:v>
      </x:c>
      <x:c r="G24" s="41" t="n">
        <x:f>G20+G21-G22-G23</x:f>
        <x:v>2672.810000000001</x:v>
      </x:c>
      <x:c r="H24" s="2"/>
      <x:c r="I24" s="2"/>
      <x:c r="J24" s="2"/>
    </x:row>
    <x:row r="25" ht="22" customHeight="1">
      <x:c r="A25" s="2"/>
      <x:c r="B25" s="2" t="str">
        <x:v>Tax expense</x:v>
      </x:c>
      <x:c r="C25" s="28" t="n">
        <x:f>'Torrent inputs'!C17/'Torrent inputs'!$C$64</x:f>
        <x:v>274.38</x:v>
      </x:c>
      <x:c r="D25" s="28" t="n">
        <x:f>'Torrent inputs'!D17/'Torrent inputs'!$C$64</x:f>
        <x:v>448.73</x:v>
      </x:c>
      <x:c r="E25" s="28" t="n">
        <x:f>'Torrent inputs'!E17/'Torrent inputs'!$C$64</x:f>
        <x:v>601.93</x:v>
      </x:c>
      <x:c r="F25" s="28" t="n">
        <x:f>'Torrent inputs'!F17/'Torrent inputs'!$C$64</x:f>
        <x:v>695.73</x:v>
      </x:c>
      <x:c r="G25" s="28" t="n">
        <x:f>'Torrent inputs'!G17/'Torrent inputs'!$C$64</x:f>
        <x:v>761.56</x:v>
      </x:c>
      <x:c r="H25" s="2"/>
      <x:c r="I25" s="2"/>
      <x:c r="J25" s="2"/>
    </x:row>
    <x:row r="26" ht="22" customHeight="1">
      <x:c r="A26" s="2"/>
      <x:c r="B26" s="30" t="str">
        <x:v>Effective tax rate</x:v>
      </x:c>
      <x:c r="C26" s="31" t="n">
        <x:f>C25/C24</x:f>
        <x:v>0.17977277790153703</x:v>
      </x:c>
      <x:c r="D26" s="31" t="n">
        <x:f>D25/D24</x:f>
        <x:v>0.36603828992340354</x:v>
      </x:c>
      <x:c r="E26" s="31" t="n">
        <x:f>E25/E24</x:f>
        <x:v>0.32586781870547243</x:v>
      </x:c>
      <x:c r="F26" s="31" t="n">
        <x:f>F25/F24</x:f>
        <x:v>0.29578973772485134</x:v>
      </x:c>
      <x:c r="G26" s="31" t="n">
        <x:f>G25/G24</x:f>
        <x:v>0.2849285957475465</x:v>
      </x:c>
      <x:c r="H26" s="2"/>
      <x:c r="I26" s="2"/>
      <x:c r="J26" s="2"/>
    </x:row>
    <x:row r="27" ht="22" customHeight="1">
      <x:c r="A27" s="2"/>
      <x:c r="B27" s="38" t="str">
        <x:v>Total profit after tax</x:v>
      </x:c>
      <x:c r="C27" s="41" t="n">
        <x:f>C24-C25</x:f>
        <x:v>1251.8800000000006</x:v>
      </x:c>
      <x:c r="D27" s="41" t="n">
        <x:f>D24-D25</x:f>
        <x:v>777.180000000001</x:v>
      </x:c>
      <x:c r="E27" s="41" t="n">
        <x:f>E24-E25</x:f>
        <x:v>1245.2299999999987</x:v>
      </x:c>
      <x:c r="F27" s="41" t="n">
        <x:f>F24-F25</x:f>
        <x:v>1656.3799999999997</x:v>
      </x:c>
      <x:c r="G27" s="41" t="n">
        <x:f>G24-G25</x:f>
        <x:v>1911.250000000001</x:v>
      </x:c>
      <x:c r="H27" s="2"/>
      <x:c r="I27" s="2"/>
      <x:c r="J27" s="2"/>
    </x:row>
    <x:row r="28" ht="22" customHeight="1">
      <x:c r="A28" s="2"/>
      <x:c r="B28" s="38" t="str">
        <x:v>PAT attributable to owners</x:v>
      </x:c>
      <x:c r="C28" s="39" t="n">
        <x:f>'Torrent inputs'!C20/'Torrent inputs'!$C$64</x:f>
        <x:v>1251.88</x:v>
      </x:c>
      <x:c r="D28" s="39" t="n">
        <x:f>'Torrent inputs'!D20/'Torrent inputs'!$C$64</x:f>
        <x:v>777.18</x:v>
      </x:c>
      <x:c r="E28" s="39" t="n">
        <x:f>'Torrent inputs'!E20/'Torrent inputs'!$C$64</x:f>
        <x:v>1245.23</x:v>
      </x:c>
      <x:c r="F28" s="39" t="n">
        <x:f>'Torrent inputs'!F20/'Torrent inputs'!$C$64</x:f>
        <x:v>1656.38</x:v>
      </x:c>
      <x:c r="G28" s="39" t="n">
        <x:f>'Torrent inputs'!G20/'Torrent inputs'!$C$64</x:f>
        <x:v>1911.25</x:v>
      </x:c>
      <x:c r="H28" s="2"/>
      <x:c r="I28" s="2"/>
      <x:c r="J28" s="2"/>
    </x:row>
    <x:row r="29" ht="22" customHeight="1">
      <x:c r="A29" s="2"/>
      <x:c r="B29" s="30" t="str">
        <x:v>PAT margin (owners)</x:v>
      </x:c>
      <x:c r="C29" s="31" t="n">
        <x:f>C28/C7</x:f>
        <x:v>0.15639057918781538</x:v>
      </x:c>
      <x:c r="D29" s="31" t="n">
        <x:f>D28/D7</x:f>
        <x:v>0.09134653809808133</x:v>
      </x:c>
      <x:c r="E29" s="31" t="n">
        <x:f>E28/E7</x:f>
        <x:v>0.12943976965016138</x:v>
      </x:c>
      <x:c r="F29" s="31" t="n">
        <x:f>F28/F7</x:f>
        <x:v>0.1544001401959761</x:v>
      </x:c>
      <x:c r="G29" s="31" t="n">
        <x:f>G28/G7</x:f>
        <x:v>0.16596344766322596</x:v>
      </x:c>
      <x:c r="H29" s="2"/>
      <x:c r="I29" s="2"/>
      <x:c r="J29" s="2"/>
    </x:row>
    <x:row r="30" ht="22" customHeight="1">
      <x:c r="A30" s="2"/>
      <x:c r="B30" s="2"/>
      <x:c r="C30" s="3"/>
      <x:c r="D30" s="3"/>
      <x:c r="E30" s="3"/>
      <x:c r="F30" s="3"/>
      <x:c r="G30" s="3"/>
      <x:c r="H30" s="2"/>
      <x:c r="I30" s="2"/>
      <x:c r="J30" s="2"/>
    </x:row>
    <x:row r="31" ht="25" customHeight="1">
      <x:c r="A31" s="2"/>
      <x:c r="B31" s="17" t="str">
        <x:v>BALANCE SHEET &amp; WORKING CAPITAL</x:v>
      </x:c>
      <x:c r="C31" s="18"/>
      <x:c r="D31" s="18"/>
      <x:c r="E31" s="18"/>
      <x:c r="F31" s="18"/>
      <x:c r="G31" s="18"/>
      <x:c r="H31" s="2"/>
      <x:c r="I31" s="2"/>
      <x:c r="J31" s="2"/>
    </x:row>
    <x:row r="32" ht="22" customHeight="1">
      <x:c r="A32" s="2"/>
      <x:c r="B32" s="2" t="str">
        <x:v>Inventories</x:v>
      </x:c>
      <x:c r="C32" s="28" t="n">
        <x:f>'Torrent inputs'!C24/'Torrent inputs'!$C$64</x:f>
        <x:v>2681.2</x:v>
      </x:c>
      <x:c r="D32" s="28" t="n">
        <x:f>'Torrent inputs'!D24/'Torrent inputs'!$C$64</x:f>
        <x:v>2462.32</x:v>
      </x:c>
      <x:c r="E32" s="28" t="n">
        <x:f>'Torrent inputs'!E24/'Torrent inputs'!$C$64</x:f>
        <x:v>2229.64</x:v>
      </x:c>
      <x:c r="F32" s="28" t="n">
        <x:f>'Torrent inputs'!F24/'Torrent inputs'!$C$64</x:f>
        <x:v>2279.07</x:v>
      </x:c>
      <x:c r="G32" s="28" t="n">
        <x:f>'Torrent inputs'!G24/'Torrent inputs'!$C$64</x:f>
        <x:v>2541.25</x:v>
      </x:c>
      <x:c r="H32" s="2"/>
      <x:c r="I32" s="2"/>
      <x:c r="J32" s="2"/>
    </x:row>
    <x:row r="33" ht="22" customHeight="1">
      <x:c r="A33" s="2"/>
      <x:c r="B33" s="2" t="str">
        <x:v>Trade receivables</x:v>
      </x:c>
      <x:c r="C33" s="28" t="n">
        <x:f>'Torrent inputs'!C25/'Torrent inputs'!$C$64</x:f>
        <x:v>1523.37</x:v>
      </x:c>
      <x:c r="D33" s="28" t="n">
        <x:f>'Torrent inputs'!D25/'Torrent inputs'!$C$64</x:f>
        <x:v>1632.48</x:v>
      </x:c>
      <x:c r="E33" s="28" t="n">
        <x:f>'Torrent inputs'!E25/'Torrent inputs'!$C$64</x:f>
        <x:v>1943.82</x:v>
      </x:c>
      <x:c r="F33" s="28" t="n">
        <x:f>'Torrent inputs'!F25/'Torrent inputs'!$C$64</x:f>
        <x:v>1844.3</x:v>
      </x:c>
      <x:c r="G33" s="28" t="n">
        <x:f>'Torrent inputs'!G25/'Torrent inputs'!$C$64</x:f>
        <x:v>1866.45</x:v>
      </x:c>
      <x:c r="H33" s="2"/>
      <x:c r="I33" s="2"/>
      <x:c r="J33" s="2"/>
    </x:row>
    <x:row r="34" ht="22" customHeight="1">
      <x:c r="A34" s="2"/>
      <x:c r="B34" s="2" t="str">
        <x:v>Trade payables</x:v>
      </x:c>
      <x:c r="C34" s="28" t="n">
        <x:f>'Torrent inputs'!C26/'Torrent inputs'!$C$64</x:f>
        <x:v>2066.81</x:v>
      </x:c>
      <x:c r="D34" s="28" t="n">
        <x:f>'Torrent inputs'!D26/'Torrent inputs'!$C$64</x:f>
        <x:v>1674.44</x:v>
      </x:c>
      <x:c r="E34" s="28" t="n">
        <x:f>'Torrent inputs'!E26/'Torrent inputs'!$C$64</x:f>
        <x:v>1678.8</x:v>
      </x:c>
      <x:c r="F34" s="28" t="n">
        <x:f>'Torrent inputs'!F26/'Torrent inputs'!$C$64</x:f>
        <x:v>2089.32</x:v>
      </x:c>
      <x:c r="G34" s="28" t="n">
        <x:f>'Torrent inputs'!G26/'Torrent inputs'!$C$64</x:f>
        <x:v>1820.02</x:v>
      </x:c>
      <x:c r="H34" s="2"/>
      <x:c r="I34" s="2"/>
      <x:c r="J34" s="2"/>
    </x:row>
    <x:row r="35" ht="22" customHeight="1">
      <x:c r="A35" s="2"/>
      <x:c r="B35" s="38" t="str">
        <x:v>Trade working capital</x:v>
      </x:c>
      <x:c r="C35" s="41" t="n">
        <x:f>C32+C33-C34</x:f>
        <x:v>2137.7599999999998</x:v>
      </x:c>
      <x:c r="D35" s="41" t="n">
        <x:f>D32+D33-D34</x:f>
        <x:v>2420.36</x:v>
      </x:c>
      <x:c r="E35" s="41" t="n">
        <x:f>E32+E33-E34</x:f>
        <x:v>2494.66</x:v>
      </x:c>
      <x:c r="F35" s="41" t="n">
        <x:f>F32+F33-F34</x:f>
        <x:v>2034.0499999999997</x:v>
      </x:c>
      <x:c r="G35" s="41" t="n">
        <x:f>G32+G33-G34</x:f>
        <x:v>2587.68</x:v>
      </x:c>
      <x:c r="H35" s="2"/>
      <x:c r="I35" s="2"/>
      <x:c r="J35" s="2"/>
    </x:row>
    <x:row r="36" ht="22" customHeight="1">
      <x:c r="A36" s="2"/>
      <x:c r="B36" s="30" t="str">
        <x:v>Trade working capital / revenue</x:v>
      </x:c>
      <x:c r="C36" s="31" t="n">
        <x:f>C35/C7</x:f>
        <x:v>0.2670587632716747</x:v>
      </x:c>
      <x:c r="D36" s="31" t="n">
        <x:f>D35/D7</x:f>
        <x:v>0.28447915148494834</x:v>
      </x:c>
      <x:c r="E36" s="31" t="n">
        <x:f>E35/E7</x:f>
        <x:v>0.25931612292947614</x:v>
      </x:c>
      <x:c r="F36" s="31" t="n">
        <x:f>F35/F7</x:f>
        <x:v>0.18960480394935045</x:v>
      </x:c>
      <x:c r="G36" s="31" t="n">
        <x:f>G35/G7</x:f>
        <x:v>0.22470126579420618</x:v>
      </x:c>
      <x:c r="H36" s="2"/>
      <x:c r="I36" s="2"/>
      <x:c r="J36" s="2"/>
    </x:row>
    <x:row r="37" ht="22" customHeight="1">
      <x:c r="A37" s="2"/>
      <x:c r="B37" s="2" t="str">
        <x:v>Receivable days</x:v>
      </x:c>
      <x:c r="C37" s="28" t="n">
        <x:f>C33/C7*'Torrent inputs'!$C$65</x:f>
        <x:v>69.46181867697378</x:v>
      </x:c>
      <x:c r="D37" s="28" t="n">
        <x:f>D33/D7*'Torrent inputs'!$C$65</x:f>
        <x:v>70.03436749239542</x:v>
      </x:c>
      <x:c r="E37" s="28" t="n">
        <x:f>E33/E7*'Torrent inputs'!$C$65</x:f>
        <x:v>73.7508562756298</x:v>
      </x:c>
      <x:c r="F37" s="28" t="n">
        <x:f>F33/F7*'Torrent inputs'!$C$65</x:f>
        <x:v>62.74977069009232</x:v>
      </x:c>
      <x:c r="G37" s="28" t="n">
        <x:f>G33/G7*'Torrent inputs'!$C$65</x:f>
        <x:v>59.1567320158144</x:v>
      </x:c>
      <x:c r="H37" s="2"/>
      <x:c r="I37" s="2"/>
      <x:c r="J37" s="2"/>
    </x:row>
    <x:row r="38" ht="22" customHeight="1">
      <x:c r="A38" s="2"/>
      <x:c r="B38" s="2" t="str">
        <x:v>Inventory days</x:v>
      </x:c>
      <x:c r="C38" s="28" t="n">
        <x:f>C32/C9*'Torrent inputs'!$C$65</x:f>
        <x:v>455.93965766252643</x:v>
      </x:c>
      <x:c r="D38" s="28" t="n">
        <x:f>D32/D9*'Torrent inputs'!$C$65</x:f>
        <x:v>368.0356755295842</x:v>
      </x:c>
      <x:c r="E38" s="28" t="n">
        <x:f>E32/E9*'Torrent inputs'!$C$65</x:f>
        <x:v>297.5364051491852</x:v>
      </x:c>
      <x:c r="F38" s="28" t="n">
        <x:f>F32/F9*'Torrent inputs'!$C$65</x:f>
        <x:v>309.67815248993935</x:v>
      </x:c>
      <x:c r="G38" s="28" t="n">
        <x:f>G32/G9*'Torrent inputs'!$C$65</x:f>
        <x:v>334.14613278576326</x:v>
      </x:c>
      <x:c r="H38" s="2"/>
      <x:c r="I38" s="2"/>
      <x:c r="J38" s="2"/>
    </x:row>
    <x:row r="39" ht="22" customHeight="1">
      <x:c r="A39" s="2"/>
      <x:c r="B39" s="2" t="str">
        <x:v>Payable days</x:v>
      </x:c>
      <x:c r="C39" s="28" t="n">
        <x:f>C34/C9*'Torrent inputs'!$C$65</x:f>
        <x:v>351.4622720623177</x:v>
      </x:c>
      <x:c r="D39" s="28" t="n">
        <x:f>D34/D9*'Torrent inputs'!$C$65</x:f>
        <x:v>250.273586103251</x:v>
      </x:c>
      <x:c r="E39" s="28" t="n">
        <x:f>E34/E9*'Torrent inputs'!$C$65</x:f>
        <x:v>224.029043686179</x:v>
      </x:c>
      <x:c r="F39" s="28" t="n">
        <x:f>F34/F9*'Torrent inputs'!$C$65</x:f>
        <x:v>283.89507894021693</x:v>
      </x:c>
      <x:c r="G39" s="28" t="n">
        <x:f>G34/G9*'Torrent inputs'!$C$65</x:f>
        <x:v>239.3124031845528</x:v>
      </x:c>
      <x:c r="H39" s="2"/>
      <x:c r="I39" s="2"/>
      <x:c r="J39" s="2"/>
    </x:row>
    <x:row r="40" ht="22" customHeight="1">
      <x:c r="A40" s="2"/>
      <x:c r="B40" s="2" t="str">
        <x:v>Cash conversion cycle (days)</x:v>
      </x:c>
      <x:c r="C40" s="3" t="n">
        <x:f>C37+C38-C39</x:f>
        <x:v>173.93920427718245</x:v>
      </x:c>
      <x:c r="D40" s="3" t="n">
        <x:f>D37+D38-D39</x:f>
        <x:v>187.79645691872858</x:v>
      </x:c>
      <x:c r="E40" s="3" t="n">
        <x:f>E37+E38-E39</x:f>
        <x:v>147.25821773863603</x:v>
      </x:c>
      <x:c r="F40" s="3" t="n">
        <x:f>F37+F38-F39</x:f>
        <x:v>88.53284423981472</x:v>
      </x:c>
      <x:c r="G40" s="3" t="n">
        <x:f>G37+G38-G39</x:f>
        <x:v>153.99046161702483</x:v>
      </x:c>
      <x:c r="H40" s="2"/>
      <x:c r="I40" s="2"/>
      <x:c r="J40" s="2"/>
    </x:row>
    <x:row r="41" ht="22" customHeight="1">
      <x:c r="A41" s="2"/>
      <x:c r="B41" s="2" t="str">
        <x:v>Cash and cash equivalents</x:v>
      </x:c>
      <x:c r="C41" s="28" t="n">
        <x:f>'Torrent inputs'!C27/'Torrent inputs'!$C$64</x:f>
        <x:v>572.56</x:v>
      </x:c>
      <x:c r="D41" s="28" t="n">
        <x:f>'Torrent inputs'!D27/'Torrent inputs'!$C$64</x:f>
        <x:v>398.4</x:v>
      </x:c>
      <x:c r="E41" s="28" t="n">
        <x:f>'Torrent inputs'!E27/'Torrent inputs'!$C$64</x:f>
        <x:v>508.53</x:v>
      </x:c>
      <x:c r="F41" s="28" t="n">
        <x:f>'Torrent inputs'!F27/'Torrent inputs'!$C$64</x:f>
        <x:v>835.14</x:v>
      </x:c>
      <x:c r="G41" s="28" t="n">
        <x:f>'Torrent inputs'!G27/'Torrent inputs'!$C$64</x:f>
        <x:v>573.48</x:v>
      </x:c>
      <x:c r="H41" s="2"/>
      <x:c r="I41" s="2"/>
      <x:c r="J41" s="2"/>
    </x:row>
    <x:row r="42" ht="22" customHeight="1">
      <x:c r="A42" s="2"/>
      <x:c r="B42" s="2" t="str">
        <x:v>Current financial investments</x:v>
      </x:c>
      <x:c r="C42" s="28" t="n">
        <x:f>'Torrent inputs'!C28/'Torrent inputs'!$C$64</x:f>
        <x:v>139.03</x:v>
      </x:c>
      <x:c r="D42" s="28" t="n">
        <x:f>'Torrent inputs'!D28/'Torrent inputs'!$C$64</x:f>
        <x:v>183.96</x:v>
      </x:c>
      <x:c r="E42" s="28" t="n">
        <x:f>'Torrent inputs'!E28/'Torrent inputs'!$C$64</x:f>
        <x:v>156.06</x:v>
      </x:c>
      <x:c r="F42" s="28" t="n">
        <x:f>'Torrent inputs'!F28/'Torrent inputs'!$C$64</x:f>
        <x:v>140.96</x:v>
      </x:c>
      <x:c r="G42" s="28" t="n">
        <x:f>'Torrent inputs'!G28/'Torrent inputs'!$C$64</x:f>
        <x:v>112.21</x:v>
      </x:c>
      <x:c r="H42" s="2"/>
      <x:c r="I42" s="2"/>
      <x:c r="J42" s="2"/>
    </x:row>
    <x:row r="43" ht="22" customHeight="1">
      <x:c r="A43" s="2"/>
      <x:c r="B43" s="38" t="str">
        <x:v>Gross borrowings, excluding leases</x:v>
      </x:c>
      <x:c r="C43" s="39" t="n">
        <x:f>('Torrent inputs'!C33+'Torrent inputs'!C34+'Torrent inputs'!C35)/'Torrent inputs'!$C$64</x:f>
        <x:v>4825.46</x:v>
      </x:c>
      <x:c r="D43" s="39" t="n">
        <x:f>('Torrent inputs'!D33+'Torrent inputs'!D34+'Torrent inputs'!D35)/'Torrent inputs'!$C$64</x:f>
        <x:v>4018.1</x:v>
      </x:c>
      <x:c r="E43" s="39" t="n">
        <x:f>('Torrent inputs'!E33+'Torrent inputs'!E34+'Torrent inputs'!E35)/'Torrent inputs'!$C$64</x:f>
        <x:v>5297.299999999999</x:v>
      </x:c>
      <x:c r="F43" s="39" t="n">
        <x:f>('Torrent inputs'!F33+'Torrent inputs'!F34+'Torrent inputs'!F35)/'Torrent inputs'!$C$64</x:f>
        <x:v>3937.42</x:v>
      </x:c>
      <x:c r="G43" s="39" t="n">
        <x:f>('Torrent inputs'!G33+'Torrent inputs'!G34+'Torrent inputs'!G35)/'Torrent inputs'!$C$64</x:f>
        <x:v>3026.09</x:v>
      </x:c>
      <x:c r="H43" s="2"/>
      <x:c r="I43" s="2"/>
      <x:c r="J43" s="2"/>
    </x:row>
    <x:row r="44" ht="22" customHeight="1">
      <x:c r="A44" s="2"/>
      <x:c r="B44" s="2" t="str">
        <x:v>Lease liabilities</x:v>
      </x:c>
      <x:c r="C44" s="28" t="n">
        <x:f>('Torrent inputs'!C36+'Torrent inputs'!C37)/'Torrent inputs'!$C$64</x:f>
        <x:v>48.67</x:v>
      </x:c>
      <x:c r="D44" s="28" t="n">
        <x:f>('Torrent inputs'!D36+'Torrent inputs'!D37)/'Torrent inputs'!$C$64</x:f>
        <x:v>51.55</x:v>
      </x:c>
      <x:c r="E44" s="28" t="n">
        <x:f>('Torrent inputs'!E36+'Torrent inputs'!E37)/'Torrent inputs'!$C$64</x:f>
        <x:v>71.25999999999999</x:v>
      </x:c>
      <x:c r="F44" s="28" t="n">
        <x:f>('Torrent inputs'!F36+'Torrent inputs'!F37)/'Torrent inputs'!$C$64</x:f>
        <x:v>84.52</x:v>
      </x:c>
      <x:c r="G44" s="28" t="n">
        <x:f>('Torrent inputs'!G36+'Torrent inputs'!G37)/'Torrent inputs'!$C$64</x:f>
        <x:v>176.23000000000002</x:v>
      </x:c>
      <x:c r="H44" s="2"/>
      <x:c r="I44" s="2"/>
      <x:c r="J44" s="2"/>
    </x:row>
    <x:row r="45" ht="22" customHeight="1">
      <x:c r="A45" s="2"/>
      <x:c r="B45" s="38" t="str">
        <x:v>Net debt / (net cash), excluding leases</x:v>
      </x:c>
      <x:c r="C45" s="41" t="n">
        <x:f>C43-C41-C42</x:f>
        <x:v>4113.87</x:v>
      </x:c>
      <x:c r="D45" s="41" t="n">
        <x:f>D43-D41-D42</x:f>
        <x:v>3435.74</x:v>
      </x:c>
      <x:c r="E45" s="41" t="n">
        <x:f>E43-E41-E42</x:f>
        <x:v>4632.709999999999</x:v>
      </x:c>
      <x:c r="F45" s="41" t="n">
        <x:f>F43-F41-F42</x:f>
        <x:v>2961.32</x:v>
      </x:c>
      <x:c r="G45" s="41" t="n">
        <x:f>G43-G41-G42</x:f>
        <x:v>2340.4</x:v>
      </x:c>
      <x:c r="H45" s="2"/>
      <x:c r="I45" s="2"/>
      <x:c r="J45" s="2"/>
    </x:row>
    <x:row r="46" ht="22" customHeight="1">
      <x:c r="A46" s="2"/>
      <x:c r="B46" s="30" t="str">
        <x:v>Net debt / operating EBITDA (x)</x:v>
      </x:c>
      <x:c r="C46" s="33" t="n">
        <x:f>C45/C14</x:f>
        <x:v>1.655028000386212</x:v>
      </x:c>
      <x:c r="D46" s="33" t="n">
        <x:f>D45/D14</x:f>
        <x:v>1.413146215763777</x:v>
      </x:c>
      <x:c r="E46" s="33" t="n">
        <x:f>E45/E14</x:f>
        <x:v>1.6300592881898632</x:v>
      </x:c>
      <x:c r="F46" s="33" t="n">
        <x:f>F45/F14</x:f>
        <x:v>0.8793431621457101</x:v>
      </x:c>
      <x:c r="G46" s="33" t="n">
        <x:f>G45/G14</x:f>
        <x:v>0.6289723971308709</x:v>
      </x:c>
      <x:c r="H46" s="2"/>
      <x:c r="I46" s="2"/>
      <x:c r="J46" s="2"/>
    </x:row>
    <x:row r="47" ht="22" customHeight="1">
      <x:c r="A47" s="2"/>
      <x:c r="B47" s="2" t="str">
        <x:v>Total current assets</x:v>
      </x:c>
      <x:c r="C47" s="28" t="n">
        <x:f>'Torrent inputs'!C30/'Torrent inputs'!$C$64</x:f>
        <x:v>5521.5</x:v>
      </x:c>
      <x:c r="D47" s="28" t="n">
        <x:f>'Torrent inputs'!D30/'Torrent inputs'!$C$64</x:f>
        <x:v>5164.99</x:v>
      </x:c>
      <x:c r="E47" s="28" t="n">
        <x:f>'Torrent inputs'!E30/'Torrent inputs'!$C$64</x:f>
        <x:v>5313.72</x:v>
      </x:c>
      <x:c r="F47" s="28" t="n">
        <x:f>'Torrent inputs'!F30/'Torrent inputs'!$C$64</x:f>
        <x:v>5611.48</x:v>
      </x:c>
      <x:c r="G47" s="28" t="n">
        <x:f>'Torrent inputs'!G30/'Torrent inputs'!$C$64</x:f>
        <x:v>5622.57</x:v>
      </x:c>
      <x:c r="H47" s="2"/>
      <x:c r="I47" s="2"/>
      <x:c r="J47" s="2"/>
    </x:row>
    <x:row r="48" ht="22" customHeight="1">
      <x:c r="A48" s="2"/>
      <x:c r="B48" s="38" t="str">
        <x:v>Total assets</x:v>
      </x:c>
      <x:c r="C48" s="39" t="n">
        <x:f>'Torrent inputs'!C31/'Torrent inputs'!$C$64</x:f>
        <x:v>14074.65</x:v>
      </x:c>
      <x:c r="D48" s="39" t="n">
        <x:f>'Torrent inputs'!D31/'Torrent inputs'!$C$64</x:f>
        <x:v>13099.84</x:v>
      </x:c>
      <x:c r="E48" s="39" t="n">
        <x:f>'Torrent inputs'!E31/'Torrent inputs'!$C$64</x:f>
        <x:v>15011.85</x:v>
      </x:c>
      <x:c r="F48" s="39" t="n">
        <x:f>'Torrent inputs'!F31/'Torrent inputs'!$C$64</x:f>
        <x:v>15060.58</x:v>
      </x:c>
      <x:c r="G48" s="39" t="n">
        <x:f>'Torrent inputs'!G31/'Torrent inputs'!$C$64</x:f>
        <x:v>14989.74</x:v>
      </x:c>
      <x:c r="H48" s="2"/>
      <x:c r="I48" s="2"/>
      <x:c r="J48" s="2"/>
    </x:row>
    <x:row r="49" ht="22" customHeight="1">
      <x:c r="A49" s="2"/>
      <x:c r="B49" s="2" t="str">
        <x:v>Total current liabilities</x:v>
      </x:c>
      <x:c r="C49" s="28" t="n">
        <x:f>'Torrent inputs'!C39/'Torrent inputs'!$C$64</x:f>
        <x:v>4891.62</x:v>
      </x:c>
      <x:c r="D49" s="28" t="n">
        <x:f>'Torrent inputs'!D39/'Torrent inputs'!$C$64</x:f>
        <x:v>4415.09</x:v>
      </x:c>
      <x:c r="E49" s="28" t="n">
        <x:f>'Torrent inputs'!E39/'Torrent inputs'!$C$64</x:f>
        <x:v>5447.3</x:v>
      </x:c>
      <x:c r="F49" s="28" t="n">
        <x:f>'Torrent inputs'!F39/'Torrent inputs'!$C$64</x:f>
        <x:v>5425.25</x:v>
      </x:c>
      <x:c r="G49" s="28" t="n">
        <x:f>'Torrent inputs'!G39/'Torrent inputs'!$C$64</x:f>
        <x:v>4717.19</x:v>
      </x:c>
      <x:c r="H49" s="2"/>
      <x:c r="I49" s="2"/>
      <x:c r="J49" s="2"/>
    </x:row>
    <x:row r="50" ht="22" customHeight="1">
      <x:c r="A50" s="2"/>
      <x:c r="B50" s="2" t="str">
        <x:v>Total non-current liabilities</x:v>
      </x:c>
      <x:c r="C50" s="28" t="n">
        <x:f>'Torrent inputs'!C38/'Torrent inputs'!$C$64</x:f>
        <x:v>3345.86</x:v>
      </x:c>
      <x:c r="D50" s="28" t="n">
        <x:f>'Torrent inputs'!D38/'Torrent inputs'!$C$64</x:f>
        <x:v>2731.8</x:v>
      </x:c>
      <x:c r="E50" s="28" t="n">
        <x:f>'Torrent inputs'!E38/'Torrent inputs'!$C$64</x:f>
        <x:v>3366.48</x:v>
      </x:c>
      <x:c r="F50" s="28" t="n">
        <x:f>'Torrent inputs'!F38/'Torrent inputs'!$C$64</x:f>
        <x:v>2779.18</x:v>
      </x:c>
      <x:c r="G50" s="28" t="n">
        <x:f>'Torrent inputs'!G38/'Torrent inputs'!$C$64</x:f>
        <x:v>2681.86</x:v>
      </x:c>
      <x:c r="H50" s="2"/>
      <x:c r="I50" s="2"/>
      <x:c r="J50" s="2"/>
    </x:row>
    <x:row r="51" ht="22" customHeight="1">
      <x:c r="A51" s="2"/>
      <x:c r="B51" s="38" t="str">
        <x:v>Total equity, including NCI</x:v>
      </x:c>
      <x:c r="C51" s="39" t="n">
        <x:f>'Torrent inputs'!C32/'Torrent inputs'!$C$64</x:f>
        <x:v>5837.17</x:v>
      </x:c>
      <x:c r="D51" s="39" t="n">
        <x:f>'Torrent inputs'!D32/'Torrent inputs'!$C$64</x:f>
        <x:v>5952.95</x:v>
      </x:c>
      <x:c r="E51" s="39" t="n">
        <x:f>'Torrent inputs'!E32/'Torrent inputs'!$C$64</x:f>
        <x:v>6198.07</x:v>
      </x:c>
      <x:c r="F51" s="39" t="n">
        <x:f>'Torrent inputs'!F32/'Torrent inputs'!$C$64</x:f>
        <x:v>6856.15</x:v>
      </x:c>
      <x:c r="G51" s="39" t="n">
        <x:f>'Torrent inputs'!G32/'Torrent inputs'!$C$64</x:f>
        <x:v>7590.69</x:v>
      </x:c>
      <x:c r="H51" s="2"/>
      <x:c r="I51" s="2"/>
      <x:c r="J51" s="2"/>
    </x:row>
    <x:row r="52" ht="22" customHeight="1">
      <x:c r="A52" s="2"/>
      <x:c r="B52" s="30" t="str">
        <x:v>Current ratio (x)</x:v>
      </x:c>
      <x:c r="C52" s="33" t="n">
        <x:f>C47/C49</x:f>
        <x:v>1.1287671568928086</x:v>
      </x:c>
      <x:c r="D52" s="33" t="n">
        <x:f>D47/D49</x:f>
        <x:v>1.1698493122450504</x:v>
      </x:c>
      <x:c r="E52" s="33" t="n">
        <x:f>E47/E49</x:f>
        <x:v>0.9754777596240339</x:v>
      </x:c>
      <x:c r="F52" s="33" t="n">
        <x:f>F47/F49</x:f>
        <x:v>1.0343265287313947</x:v>
      </x:c>
      <x:c r="G52" s="33" t="n">
        <x:f>G47/G49</x:f>
        <x:v>1.191932061248328</x:v>
      </x:c>
      <x:c r="H52" s="2"/>
      <x:c r="I52" s="2"/>
      <x:c r="J52" s="2"/>
    </x:row>
    <x:row r="53" ht="22" customHeight="1">
      <x:c r="A53" s="2"/>
      <x:c r="B53" s="2"/>
      <x:c r="C53" s="3"/>
      <x:c r="D53" s="3"/>
      <x:c r="E53" s="3"/>
      <x:c r="F53" s="3"/>
      <x:c r="G53" s="3"/>
      <x:c r="H53" s="2"/>
      <x:c r="I53" s="2"/>
      <x:c r="J53" s="2"/>
    </x:row>
    <x:row r="54" ht="25" customHeight="1">
      <x:c r="A54" s="2"/>
      <x:c r="B54" s="17" t="str">
        <x:v>CASH GENERATION</x:v>
      </x:c>
      <x:c r="C54" s="18"/>
      <x:c r="D54" s="18"/>
      <x:c r="E54" s="18"/>
      <x:c r="F54" s="18"/>
      <x:c r="G54" s="18"/>
      <x:c r="H54" s="2"/>
      <x:c r="I54" s="2"/>
      <x:c r="J54" s="2"/>
    </x:row>
    <x:row r="55" ht="22" customHeight="1">
      <x:c r="A55" s="2"/>
      <x:c r="B55" s="38" t="str">
        <x:v>Operating cash flow</x:v>
      </x:c>
      <x:c r="C55" s="39" t="n">
        <x:f>'Torrent inputs'!C42/'Torrent inputs'!$C$64</x:f>
        <x:v>2010.69</x:v>
      </x:c>
      <x:c r="D55" s="39" t="n">
        <x:f>'Torrent inputs'!D42/'Torrent inputs'!$C$64</x:f>
        <x:v>1802.99</x:v>
      </x:c>
      <x:c r="E55" s="39" t="n">
        <x:f>'Torrent inputs'!E42/'Torrent inputs'!$C$64</x:f>
        <x:v>2368.13</x:v>
      </x:c>
      <x:c r="F55" s="39" t="n">
        <x:f>'Torrent inputs'!F42/'Torrent inputs'!$C$64</x:f>
        <x:v>3266.08</x:v>
      </x:c>
      <x:c r="G55" s="39" t="n">
        <x:f>'Torrent inputs'!G42/'Torrent inputs'!$C$64</x:f>
        <x:v>2585.11</x:v>
      </x:c>
      <x:c r="H55" s="2"/>
      <x:c r="I55" s="2"/>
      <x:c r="J55" s="2"/>
    </x:row>
    <x:row r="56" ht="22" customHeight="1">
      <x:c r="A56" s="2"/>
      <x:c r="B56" s="30" t="str">
        <x:v>Operating cash flow / operating EBITDA</x:v>
      </x:c>
      <x:c r="C56" s="31" t="n">
        <x:f>C55/C14</x:f>
        <x:v>0.8089094332335618</x:v>
      </x:c>
      <x:c r="D56" s="31" t="n">
        <x:f>D55/D14</x:f>
        <x:v>0.7415836167928693</x:v>
      </x:c>
      <x:c r="E56" s="31" t="n">
        <x:f>E55/E14</x:f>
        <x:v>0.8332471279534143</x:v>
      </x:c>
      <x:c r="F56" s="31" t="n">
        <x:f>F55/F14</x:f>
        <x:v>0.9698395023235789</x:v>
      </x:c>
      <x:c r="G56" s="31" t="n">
        <x:f>G55/G14</x:f>
        <x:v>0.6947371532844753</x:v>
      </x:c>
      <x:c r="H56" s="2"/>
      <x:c r="I56" s="2"/>
      <x:c r="J56" s="2"/>
    </x:row>
    <x:row r="57" ht="22" customHeight="1">
      <x:c r="A57" s="2"/>
      <x:c r="B57" s="2" t="str">
        <x:v>PPE / combined capex cash spend</x:v>
      </x:c>
      <x:c r="C57" s="28" t="n">
        <x:f>'Torrent inputs'!C43/'Torrent inputs'!$C$64</x:f>
        <x:v>335.15</x:v>
      </x:c>
      <x:c r="D57" s="28" t="n">
        <x:f>'Torrent inputs'!D43/'Torrent inputs'!$C$64</x:f>
        <x:v>202.57</x:v>
      </x:c>
      <x:c r="E57" s="28" t="n">
        <x:f>'Torrent inputs'!E43/'Torrent inputs'!$C$64</x:f>
        <x:v>573.94</x:v>
      </x:c>
      <x:c r="F57" s="28" t="n">
        <x:f>'Torrent inputs'!F43/'Torrent inputs'!$C$64</x:f>
        <x:v>432.78</x:v>
      </x:c>
      <x:c r="G57" s="28" t="n">
        <x:f>'Torrent inputs'!G43/'Torrent inputs'!$C$64</x:f>
        <x:v>611.87</x:v>
      </x:c>
      <x:c r="H57" s="2"/>
      <x:c r="I57" s="2"/>
      <x:c r="J57" s="2"/>
    </x:row>
    <x:row r="58" ht="22" customHeight="1">
      <x:c r="A58" s="2"/>
      <x:c r="B58" s="2" t="str">
        <x:v>Separate intangible cash spend</x:v>
      </x:c>
      <x:c r="C58" s="28" t="n">
        <x:f>'Torrent inputs'!C44/'Torrent inputs'!$C$64</x:f>
        <x:v>0</x:v>
      </x:c>
      <x:c r="D58" s="28" t="n">
        <x:f>'Torrent inputs'!D44/'Torrent inputs'!$C$64</x:f>
        <x:v>0</x:v>
      </x:c>
      <x:c r="E58" s="28" t="n">
        <x:f>'Torrent inputs'!E44/'Torrent inputs'!$C$64</x:f>
        <x:v>0</x:v>
      </x:c>
      <x:c r="F58" s="28" t="n">
        <x:f>'Torrent inputs'!F44/'Torrent inputs'!$C$64</x:f>
        <x:v>0</x:v>
      </x:c>
      <x:c r="G58" s="28" t="n">
        <x:f>'Torrent inputs'!G44/'Torrent inputs'!$C$64</x:f>
        <x:v>0</x:v>
      </x:c>
      <x:c r="H58" s="2"/>
      <x:c r="I58" s="2"/>
      <x:c r="J58" s="2"/>
    </x:row>
    <x:row r="59" ht="22" customHeight="1">
      <x:c r="A59" s="2"/>
      <x:c r="B59" s="38" t="str">
        <x:v>Total capex cash spend</x:v>
      </x:c>
      <x:c r="C59" s="41" t="n">
        <x:f>C57+C58</x:f>
        <x:v>335.15</x:v>
      </x:c>
      <x:c r="D59" s="41" t="n">
        <x:f>D57+D58</x:f>
        <x:v>202.57</x:v>
      </x:c>
      <x:c r="E59" s="41" t="n">
        <x:f>E57+E58</x:f>
        <x:v>573.94</x:v>
      </x:c>
      <x:c r="F59" s="41" t="n">
        <x:f>F57+F58</x:f>
        <x:v>432.78</x:v>
      </x:c>
      <x:c r="G59" s="41" t="n">
        <x:f>G57+G58</x:f>
        <x:v>611.87</x:v>
      </x:c>
      <x:c r="H59" s="2"/>
      <x:c r="I59" s="2"/>
      <x:c r="J59" s="2"/>
    </x:row>
    <x:row r="60" ht="22" customHeight="1">
      <x:c r="A60" s="2"/>
      <x:c r="B60" s="38" t="str">
        <x:v>Cash flow after capex</x:v>
      </x:c>
      <x:c r="C60" s="41" t="n">
        <x:f>C55-C59</x:f>
        <x:v>1675.54</x:v>
      </x:c>
      <x:c r="D60" s="41" t="n">
        <x:f>D55-D59</x:f>
        <x:v>1600.42</x:v>
      </x:c>
      <x:c r="E60" s="41" t="n">
        <x:f>E55-E59</x:f>
        <x:v>1794.19</x:v>
      </x:c>
      <x:c r="F60" s="41" t="n">
        <x:f>F55-F59</x:f>
        <x:v>2833.3</x:v>
      </x:c>
      <x:c r="G60" s="41" t="n">
        <x:f>G55-G59</x:f>
        <x:v>1973.2400000000002</x:v>
      </x:c>
      <x:c r="H60" s="2"/>
      <x:c r="I60" s="2"/>
      <x:c r="J60" s="2"/>
    </x:row>
    <x:row r="61" ht="22" customHeight="1">
      <x:c r="A61" s="2"/>
      <x:c r="B61" s="2" t="str">
        <x:v>Business acquisition cash payment</x:v>
      </x:c>
      <x:c r="C61" s="28" t="n">
        <x:f>'Torrent inputs'!C45/'Torrent inputs'!$C$64</x:f>
        <x:v>0</x:v>
      </x:c>
      <x:c r="D61" s="28" t="n">
        <x:f>'Torrent inputs'!D45/'Torrent inputs'!$C$64</x:f>
        <x:v>0</x:v>
      </x:c>
      <x:c r="E61" s="28" t="n">
        <x:f>'Torrent inputs'!E45/'Torrent inputs'!$C$64</x:f>
        <x:v>2000</x:v>
      </x:c>
      <x:c r="F61" s="28" t="n">
        <x:f>'Torrent inputs'!F45/'Torrent inputs'!$C$64</x:f>
        <x:v>0</x:v>
      </x:c>
      <x:c r="G61" s="28" t="n">
        <x:f>'Torrent inputs'!G45/'Torrent inputs'!$C$64</x:f>
        <x:v>0</x:v>
      </x:c>
      <x:c r="H61" s="2"/>
      <x:c r="I61" s="2"/>
      <x:c r="J61" s="2"/>
    </x:row>
    <x:row r="62" ht="22" customHeight="1">
      <x:c r="A62" s="2"/>
      <x:c r="B62" s="38" t="str">
        <x:v>Cash flow after capex &amp; business purchases</x:v>
      </x:c>
      <x:c r="C62" s="41" t="n">
        <x:f>C60-C61</x:f>
        <x:v>1675.54</x:v>
      </x:c>
      <x:c r="D62" s="41" t="n">
        <x:f>D60-D61</x:f>
        <x:v>1600.42</x:v>
      </x:c>
      <x:c r="E62" s="41" t="n">
        <x:f>E60-E61</x:f>
        <x:v>-205.80999999999995</x:v>
      </x:c>
      <x:c r="F62" s="41" t="n">
        <x:f>F60-F61</x:f>
        <x:v>2833.3</x:v>
      </x:c>
      <x:c r="G62" s="41" t="n">
        <x:f>G60-G61</x:f>
        <x:v>1973.2400000000002</x:v>
      </x:c>
      <x:c r="H62" s="2"/>
      <x:c r="I62" s="2"/>
      <x:c r="J62" s="2"/>
    </x:row>
    <x:row r="63" ht="22" customHeight="1">
      <x:c r="A63" s="2"/>
      <x:c r="B63" s="2" t="str">
        <x:v>Net investing cash flow</x:v>
      </x:c>
      <x:c r="C63" s="28" t="n">
        <x:f>'Torrent inputs'!C46/'Torrent inputs'!$C$64</x:f>
        <x:v>-449.42</x:v>
      </x:c>
      <x:c r="D63" s="28" t="n">
        <x:f>'Torrent inputs'!D46/'Torrent inputs'!$C$64</x:f>
        <x:v>-196.63</x:v>
      </x:c>
      <x:c r="E63" s="28" t="n">
        <x:f>'Torrent inputs'!E46/'Torrent inputs'!$C$64</x:f>
        <x:v>-2415.31</x:v>
      </x:c>
      <x:c r="F63" s="28" t="n">
        <x:f>'Torrent inputs'!F46/'Torrent inputs'!$C$64</x:f>
        <x:v>-167.9</x:v>
      </x:c>
      <x:c r="G63" s="28" t="n">
        <x:f>'Torrent inputs'!G46/'Torrent inputs'!$C$64</x:f>
        <x:v>-540.05</x:v>
      </x:c>
      <x:c r="H63" s="2"/>
      <x:c r="I63" s="2"/>
      <x:c r="J63" s="2"/>
    </x:row>
    <x:row r="64" ht="22" customHeight="1">
      <x:c r="A64" s="2"/>
      <x:c r="B64" s="2" t="str">
        <x:v>Net financing cash flow</x:v>
      </x:c>
      <x:c r="C64" s="28" t="n">
        <x:f>'Torrent inputs'!C47/'Torrent inputs'!$C$64</x:f>
        <x:v>-1656.13</x:v>
      </x:c>
      <x:c r="D64" s="28" t="n">
        <x:f>'Torrent inputs'!D47/'Torrent inputs'!$C$64</x:f>
        <x:v>-1781.05</x:v>
      </x:c>
      <x:c r="E64" s="28" t="n">
        <x:f>'Torrent inputs'!E47/'Torrent inputs'!$C$64</x:f>
        <x:v>77.36</x:v>
      </x:c>
      <x:c r="F64" s="28" t="n">
        <x:f>'Torrent inputs'!F47/'Torrent inputs'!$C$64</x:f>
        <x:v>-2779.64</x:v>
      </x:c>
      <x:c r="G64" s="28" t="n">
        <x:f>'Torrent inputs'!G47/'Torrent inputs'!$C$64</x:f>
        <x:v>-2297.99</x:v>
      </x:c>
      <x:c r="H64" s="2"/>
      <x:c r="I64" s="2"/>
      <x:c r="J64" s="2"/>
    </x:row>
    <x:row r="65" ht="22" customHeight="1">
      <x:c r="A65" s="2"/>
      <x:c r="B65" s="2" t="str">
        <x:v>Exchange effect on cash</x:v>
      </x:c>
      <x:c r="C65" s="28" t="n">
        <x:f>'Torrent inputs'!C48/'Torrent inputs'!$C$64</x:f>
        <x:v>5.6</x:v>
      </x:c>
      <x:c r="D65" s="28" t="n">
        <x:f>'Torrent inputs'!D48/'Torrent inputs'!$C$64</x:f>
        <x:v>0.53</x:v>
      </x:c>
      <x:c r="E65" s="28" t="n">
        <x:f>'Torrent inputs'!E48/'Torrent inputs'!$C$64</x:f>
        <x:v>21.12</x:v>
      </x:c>
      <x:c r="F65" s="28" t="n">
        <x:f>'Torrent inputs'!F48/'Torrent inputs'!$C$64</x:f>
        <x:v>8.07</x:v>
      </x:c>
      <x:c r="G65" s="28" t="n">
        <x:f>'Torrent inputs'!G48/'Torrent inputs'!$C$64</x:f>
        <x:v>-8.73</x:v>
      </x:c>
      <x:c r="H65" s="2"/>
      <x:c r="I65" s="2"/>
      <x:c r="J65" s="2"/>
    </x:row>
    <x:row r="66" ht="22" customHeight="1">
      <x:c r="A66" s="2"/>
      <x:c r="B66" s="2" t="str">
        <x:v>Opening cash: cash-flow statement</x:v>
      </x:c>
      <x:c r="C66" s="28" t="n">
        <x:f>'Torrent inputs'!C49/'Torrent inputs'!$C$64</x:f>
        <x:v>661.82</x:v>
      </x:c>
      <x:c r="D66" s="28" t="n">
        <x:f>'Torrent inputs'!D49/'Torrent inputs'!$C$64</x:f>
        <x:v>572.56</x:v>
      </x:c>
      <x:c r="E66" s="28" t="n">
        <x:f>'Torrent inputs'!E49/'Torrent inputs'!$C$64</x:f>
        <x:v>398.4</x:v>
      </x:c>
      <x:c r="F66" s="28" t="n">
        <x:f>'Torrent inputs'!F49/'Torrent inputs'!$C$64</x:f>
        <x:v>508.53</x:v>
      </x:c>
      <x:c r="G66" s="28" t="n">
        <x:f>'Torrent inputs'!G49/'Torrent inputs'!$C$64</x:f>
        <x:v>835.14</x:v>
      </x:c>
      <x:c r="H66" s="2"/>
      <x:c r="I66" s="2"/>
      <x:c r="J66" s="2"/>
    </x:row>
    <x:row r="67" ht="22" customHeight="1">
      <x:c r="A67" s="2"/>
      <x:c r="B67" s="2" t="str">
        <x:v>Cash acquired with subsidiary</x:v>
      </x:c>
      <x:c r="C67" s="28" t="n">
        <x:f>'Torrent inputs'!C50/'Torrent inputs'!$C$64</x:f>
        <x:v>0</x:v>
      </x:c>
      <x:c r="D67" s="28" t="n">
        <x:f>'Torrent inputs'!D50/'Torrent inputs'!$C$64</x:f>
        <x:v>0</x:v>
      </x:c>
      <x:c r="E67" s="28" t="n">
        <x:f>'Torrent inputs'!E50/'Torrent inputs'!$C$64</x:f>
        <x:v>58.83</x:v>
      </x:c>
      <x:c r="F67" s="28" t="n">
        <x:f>'Torrent inputs'!F50/'Torrent inputs'!$C$64</x:f>
        <x:v>0</x:v>
      </x:c>
      <x:c r="G67" s="28" t="n">
        <x:f>'Torrent inputs'!G50/'Torrent inputs'!$C$64</x:f>
        <x:v>0</x:v>
      </x:c>
      <x:c r="H67" s="2"/>
      <x:c r="I67" s="2"/>
      <x:c r="J67" s="2"/>
    </x:row>
    <x:row r="68" ht="22" customHeight="1">
      <x:c r="A68" s="2"/>
      <x:c r="B68" s="38" t="str">
        <x:v>Calculated closing cash: cash-flow statement</x:v>
      </x:c>
      <x:c r="C68" s="41" t="n">
        <x:f>SUM(C63:C67)+C55</x:f>
        <x:v>572.56</x:v>
      </x:c>
      <x:c r="D68" s="41" t="n">
        <x:f>SUM(D63:D67)+D55</x:f>
        <x:v>398.4000000000001</x:v>
      </x:c>
      <x:c r="E68" s="41" t="n">
        <x:f>SUM(E63:E67)+E55</x:f>
        <x:v>508.5300000000002</x:v>
      </x:c>
      <x:c r="F68" s="41" t="n">
        <x:f>SUM(F63:F67)+F55</x:f>
        <x:v>835.1400000000003</x:v>
      </x:c>
      <x:c r="G68" s="41" t="n">
        <x:f>SUM(G63:G67)+G55</x:f>
        <x:v>573.48</x:v>
      </x:c>
      <x:c r="H68" s="2"/>
      <x:c r="I68" s="2"/>
      <x:c r="J68" s="2"/>
    </x:row>
    <x:row r="69" ht="22" customHeight="1">
      <x:c r="A69" s="2"/>
      <x:c r="B69" s="2" t="str">
        <x:v>Add: overdraft netted in cash-flow statement</x:v>
      </x:c>
      <x:c r="C69" s="28" t="n">
        <x:f>'Torrent inputs'!C52/'Torrent inputs'!$C$64</x:f>
        <x:v>0</x:v>
      </x:c>
      <x:c r="D69" s="28" t="n">
        <x:f>'Torrent inputs'!D52/'Torrent inputs'!$C$64</x:f>
        <x:v>0</x:v>
      </x:c>
      <x:c r="E69" s="28" t="n">
        <x:f>'Torrent inputs'!E52/'Torrent inputs'!$C$64</x:f>
        <x:v>0</x:v>
      </x:c>
      <x:c r="F69" s="28" t="n">
        <x:f>'Torrent inputs'!F52/'Torrent inputs'!$C$64</x:f>
        <x:v>0</x:v>
      </x:c>
      <x:c r="G69" s="28" t="n">
        <x:f>'Torrent inputs'!G52/'Torrent inputs'!$C$64</x:f>
        <x:v>0</x:v>
      </x:c>
      <x:c r="H69" s="2"/>
      <x:c r="I69" s="2"/>
      <x:c r="J69" s="2"/>
    </x:row>
    <x:row r="70" ht="22" customHeight="1">
      <x:c r="A70" s="2"/>
      <x:c r="B70" s="38" t="str">
        <x:v>Calculated balance-sheet cash</x:v>
      </x:c>
      <x:c r="C70" s="41" t="n">
        <x:f>C68+C69</x:f>
        <x:v>572.56</x:v>
      </x:c>
      <x:c r="D70" s="41" t="n">
        <x:f>D68+D69</x:f>
        <x:v>398.4000000000001</x:v>
      </x:c>
      <x:c r="E70" s="41" t="n">
        <x:f>E68+E69</x:f>
        <x:v>508.5300000000002</x:v>
      </x:c>
      <x:c r="F70" s="41" t="n">
        <x:f>F68+F69</x:f>
        <x:v>835.1400000000003</x:v>
      </x:c>
      <x:c r="G70" s="41" t="n">
        <x:f>G68+G69</x:f>
        <x:v>573.48</x:v>
      </x:c>
      <x:c r="H70" s="2"/>
      <x:c r="I70" s="2"/>
      <x:c r="J70" s="2"/>
    </x:row>
    <x:row r="71" ht="22" customHeight="1">
      <x:c r="A71" s="2"/>
      <x:c r="B71" s="2"/>
      <x:c r="C71" s="3"/>
      <x:c r="D71" s="3"/>
      <x:c r="E71" s="3"/>
      <x:c r="F71" s="3"/>
      <x:c r="G71" s="3"/>
      <x:c r="H71" s="2"/>
      <x:c r="I71" s="2"/>
      <x:c r="J71" s="2"/>
    </x:row>
    <x:row r="72" ht="25" customHeight="1">
      <x:c r="A72" s="2"/>
      <x:c r="B72" s="17" t="str">
        <x:v>SHARES &amp; EPS — CONSISTENT FY25 BASIS</x:v>
      </x:c>
      <x:c r="C72" s="18"/>
      <x:c r="D72" s="18"/>
      <x:c r="E72" s="18"/>
      <x:c r="F72" s="18"/>
      <x:c r="G72" s="18"/>
      <x:c r="H72" s="2"/>
      <x:c r="I72" s="2"/>
      <x:c r="J72" s="2"/>
    </x:row>
    <x:row r="73" ht="22" customHeight="1">
      <x:c r="A73" s="2"/>
      <x:c r="B73" s="2" t="str">
        <x:v>Weighted-average basic shares (crore)</x:v>
      </x:c>
      <x:c r="C73" s="34" t="n">
        <x:f>'Torrent inputs'!C55*'Torrent inputs'!C58/'Torrent inputs'!$C$66</x:f>
        <x:v>33.844544</x:v>
      </x:c>
      <x:c r="D73" s="34" t="n">
        <x:f>'Torrent inputs'!D55*'Torrent inputs'!D58/'Torrent inputs'!$C$66</x:f>
        <x:v>33.844544</x:v>
      </x:c>
      <x:c r="E73" s="34" t="n">
        <x:f>'Torrent inputs'!E55*'Torrent inputs'!E58/'Torrent inputs'!$C$66</x:f>
        <x:v>33.844544</x:v>
      </x:c>
      <x:c r="F73" s="34" t="n">
        <x:f>'Torrent inputs'!F55*'Torrent inputs'!F58/'Torrent inputs'!$C$66</x:f>
        <x:v>33.844544</x:v>
      </x:c>
      <x:c r="G73" s="34" t="n">
        <x:f>'Torrent inputs'!G55*'Torrent inputs'!G58/'Torrent inputs'!$C$66</x:f>
        <x:v>33.844544</x:v>
      </x:c>
      <x:c r="H73" s="2"/>
      <x:c r="I73" s="2"/>
      <x:c r="J73" s="2"/>
    </x:row>
    <x:row r="74" ht="22" customHeight="1">
      <x:c r="A74" s="2"/>
      <x:c r="B74" s="2" t="str">
        <x:v>Weighted-average diluted shares (crore)</x:v>
      </x:c>
      <x:c r="C74" s="34" t="n">
        <x:f>'Torrent inputs'!C56*'Torrent inputs'!C58/'Torrent inputs'!$C$66</x:f>
        <x:v>33.844544</x:v>
      </x:c>
      <x:c r="D74" s="34" t="n">
        <x:f>'Torrent inputs'!D56*'Torrent inputs'!D58/'Torrent inputs'!$C$66</x:f>
        <x:v>33.844544</x:v>
      </x:c>
      <x:c r="E74" s="34" t="n">
        <x:f>'Torrent inputs'!E56*'Torrent inputs'!E58/'Torrent inputs'!$C$66</x:f>
        <x:v>33.844544</x:v>
      </x:c>
      <x:c r="F74" s="34" t="n">
        <x:f>'Torrent inputs'!F56*'Torrent inputs'!F58/'Torrent inputs'!$C$66</x:f>
        <x:v>33.844544</x:v>
      </x:c>
      <x:c r="G74" s="34" t="n">
        <x:f>'Torrent inputs'!G56*'Torrent inputs'!G58/'Torrent inputs'!$C$66</x:f>
        <x:v>33.844544</x:v>
      </x:c>
      <x:c r="H74" s="2"/>
      <x:c r="I74" s="2"/>
      <x:c r="J74" s="2"/>
    </x:row>
    <x:row r="75" ht="22" customHeight="1">
      <x:c r="A75" s="2"/>
      <x:c r="B75" s="2" t="str">
        <x:v>Closing issued shares (crore)</x:v>
      </x:c>
      <x:c r="C75" s="34" t="n">
        <x:f>'Torrent inputs'!C57*'Torrent inputs'!C59/'Torrent inputs'!$C$66</x:f>
        <x:v>33.844544</x:v>
      </x:c>
      <x:c r="D75" s="34" t="n">
        <x:f>'Torrent inputs'!D57*'Torrent inputs'!D59/'Torrent inputs'!$C$66</x:f>
        <x:v>33.844544</x:v>
      </x:c>
      <x:c r="E75" s="34" t="n">
        <x:f>'Torrent inputs'!E57*'Torrent inputs'!E59/'Torrent inputs'!$C$66</x:f>
        <x:v>33.844544</x:v>
      </x:c>
      <x:c r="F75" s="34" t="n">
        <x:f>'Torrent inputs'!F57*'Torrent inputs'!F59/'Torrent inputs'!$C$66</x:f>
        <x:v>33.844544</x:v>
      </x:c>
      <x:c r="G75" s="34" t="n">
        <x:f>'Torrent inputs'!G57*'Torrent inputs'!G59/'Torrent inputs'!$C$66</x:f>
        <x:v>33.844544</x:v>
      </x:c>
      <x:c r="H75" s="2"/>
      <x:c r="I75" s="2"/>
      <x:c r="J75" s="2"/>
    </x:row>
    <x:row r="76" ht="22" customHeight="1">
      <x:c r="A76" s="2"/>
      <x:c r="B76" s="38" t="str">
        <x:v>Basic EPS on FY25 share basis (INR)</x:v>
      </x:c>
      <x:c r="C76" s="43" t="n">
        <x:f>C28/C73</x:f>
        <x:v>36.98912297355817</x:v>
      </x:c>
      <x:c r="D76" s="43" t="n">
        <x:f>D28/D73</x:f>
        <x:v>22.963228578290195</x:v>
      </x:c>
      <x:c r="E76" s="43" t="n">
        <x:f>E28/E73</x:f>
        <x:v>36.79263635521282</x:v>
      </x:c>
      <x:c r="F76" s="43" t="n">
        <x:f>F28/F73</x:f>
        <x:v>48.940827803736994</x:v>
      </x:c>
      <x:c r="G76" s="43" t="n">
        <x:f>G28/G73</x:f>
        <x:v>56.47143598684621</x:v>
      </x:c>
      <x:c r="H76" s="2"/>
      <x:c r="I76" s="2"/>
      <x:c r="J76" s="2"/>
    </x:row>
    <x:row r="77" ht="22" customHeight="1">
      <x:c r="A77" s="2"/>
      <x:c r="B77" s="38" t="str">
        <x:v>Diluted EPS on FY25 share basis (INR)</x:v>
      </x:c>
      <x:c r="C77" s="43" t="n">
        <x:f>C28/C74</x:f>
        <x:v>36.98912297355817</x:v>
      </x:c>
      <x:c r="D77" s="43" t="n">
        <x:f>D28/D74</x:f>
        <x:v>22.963228578290195</x:v>
      </x:c>
      <x:c r="E77" s="43" t="n">
        <x:f>E28/E74</x:f>
        <x:v>36.79263635521282</x:v>
      </x:c>
      <x:c r="F77" s="43" t="n">
        <x:f>F28/F74</x:f>
        <x:v>48.940827803736994</x:v>
      </x:c>
      <x:c r="G77" s="43" t="n">
        <x:f>G28/G74</x:f>
        <x:v>56.47143598684621</x:v>
      </x:c>
      <x:c r="H77" s="2"/>
      <x:c r="I77" s="2"/>
      <x:c r="J77" s="2"/>
    </x:row>
    <x:row r="78" ht="22" customHeight="1">
      <x:c r="A78" s="2"/>
      <x:c r="B78" s="30" t="str">
        <x:v>Basic EPS growth</x:v>
      </x:c>
      <x:c r="C78" s="31" t="str">
        <x:v>n/a</x:v>
      </x:c>
      <x:c r="D78" s="31" t="n">
        <x:f>D76/C76-1</x:f>
        <x:v>-0.37918969869316566</x:v>
      </x:c>
      <x:c r="E78" s="31" t="n">
        <x:f>E76/D76-1</x:f>
        <x:v>0.6022414369901439</x:v>
      </x:c>
      <x:c r="F78" s="31" t="n">
        <x:f>F76/E76-1</x:f>
        <x:v>0.33017996675313</x:v>
      </x:c>
      <x:c r="G78" s="31" t="n">
        <x:f>G76/F76-1</x:f>
        <x:v>0.1538716961083808</x:v>
      </x:c>
      <x:c r="H78" s="2"/>
      <x:c r="I78" s="2"/>
      <x:c r="J78" s="2"/>
    </x:row>
    <x:row r="79" ht="22" customHeight="1">
      <x:c r="A79" s="2"/>
      <x:c r="B79" s="2"/>
      <x:c r="C79" s="3"/>
      <x:c r="D79" s="3"/>
      <x:c r="E79" s="3"/>
      <x:c r="F79" s="3"/>
      <x:c r="G79" s="3"/>
      <x:c r="H79" s="2"/>
      <x:c r="I79" s="2"/>
      <x:c r="J79" s="2"/>
    </x:row>
    <x:row r="80" ht="25" customHeight="1">
      <x:c r="A80" s="2"/>
      <x:c r="B80" s="17" t="str">
        <x:v>RECONCILIATION CHECKS</x:v>
      </x:c>
      <x:c r="C80" s="18"/>
      <x:c r="D80" s="18"/>
      <x:c r="E80" s="18"/>
      <x:c r="F80" s="18"/>
      <x:c r="G80" s="18"/>
      <x:c r="H80" s="2"/>
      <x:c r="I80" s="2"/>
      <x:c r="J80" s="2"/>
    </x:row>
    <x:row r="81" ht="22" customHeight="1">
      <x:c r="A81" s="2"/>
      <x:c r="B81" s="2" t="str">
        <x:v>PBT vs reported: difference</x:v>
      </x:c>
      <x:c r="C81" s="34" t="n">
        <x:f>C24-('Torrent inputs'!C18/'Torrent inputs'!$C$64)</x:f>
        <x:v>4.547473508864641e-13</x:v>
      </x:c>
      <x:c r="D81" s="34" t="n">
        <x:f>D24-('Torrent inputs'!D18/'Torrent inputs'!$C$64)</x:f>
        <x:v>9.094947017729282e-13</x:v>
      </x:c>
      <x:c r="E81" s="34" t="n">
        <x:f>E24-('Torrent inputs'!E18/'Torrent inputs'!$C$64)</x:f>
        <x:v>-1.5916157281026244e-12</x:v>
      </x:c>
      <x:c r="F81" s="34" t="n">
        <x:f>F24-('Torrent inputs'!F18/'Torrent inputs'!$C$64)</x:f>
        <x:v>-4.547473508864641e-13</x:v>
      </x:c>
      <x:c r="G81" s="34" t="n">
        <x:f>G24-('Torrent inputs'!G18/'Torrent inputs'!$C$64)</x:f>
        <x:v>9.094947017729282e-13</x:v>
      </x:c>
      <x:c r="H81" s="2"/>
      <x:c r="I81" s="2"/>
      <x:c r="J81" s="2"/>
    </x:row>
    <x:row r="82" ht="22" customHeight="1">
      <x:c r="A82" s="2"/>
      <x:c r="B82" s="2" t="str">
        <x:v>PAT vs reported: difference</x:v>
      </x:c>
      <x:c r="C82" s="34" t="n">
        <x:f>C27-('Torrent inputs'!C19/'Torrent inputs'!$C$64)</x:f>
        <x:v>4.547473508864641e-13</x:v>
      </x:c>
      <x:c r="D82" s="34" t="n">
        <x:f>D27-('Torrent inputs'!D19/'Torrent inputs'!$C$64)</x:f>
        <x:v>1.0231815394945443e-12</x:v>
      </x:c>
      <x:c r="E82" s="34" t="n">
        <x:f>E27-('Torrent inputs'!E19/'Torrent inputs'!$C$64)</x:f>
        <x:v>-1.3642420526593924e-12</x:v>
      </x:c>
      <x:c r="F82" s="34" t="n">
        <x:f>F27-('Torrent inputs'!F19/'Torrent inputs'!$C$64)</x:f>
        <x:v>-4.547473508864641e-13</x:v>
      </x:c>
      <x:c r="G82" s="34" t="n">
        <x:f>G27-('Torrent inputs'!G19/'Torrent inputs'!$C$64)</x:f>
        <x:v>9.094947017729282e-13</x:v>
      </x:c>
      <x:c r="H82" s="2"/>
      <x:c r="I82" s="2"/>
      <x:c r="J82" s="2"/>
    </x:row>
    <x:row r="83" ht="22" customHeight="1">
      <x:c r="A83" s="2"/>
      <x:c r="B83" s="2" t="str">
        <x:v>Assets less liabilities and equity</x:v>
      </x:c>
      <x:c r="C83" s="35" t="n">
        <x:f>C48-C49-C50-C51</x:f>
        <x:v>-1.8189894035458565e-12</x:v>
      </x:c>
      <x:c r="D83" s="35" t="n">
        <x:f>D48-D49-D50-D51</x:f>
        <x:v>0</x:v>
      </x:c>
      <x:c r="E83" s="35" t="n">
        <x:f>E48-E49-E50-E51</x:f>
        <x:v>0</x:v>
      </x:c>
      <x:c r="F83" s="35" t="n">
        <x:f>F48-F49-F50-F51</x:f>
        <x:v>0</x:v>
      </x:c>
      <x:c r="G83" s="35" t="n">
        <x:f>G48-G49-G50-G51</x:f>
        <x:v>-9.094947017729282e-13</x:v>
      </x:c>
      <x:c r="H83" s="2"/>
      <x:c r="I83" s="2"/>
      <x:c r="J83" s="2"/>
    </x:row>
    <x:row r="84" ht="22" customHeight="1">
      <x:c r="A84" s="2"/>
      <x:c r="B84" s="2" t="str">
        <x:v>Cash-flow bridge vs reported cash</x:v>
      </x:c>
      <x:c r="C84" s="34" t="n">
        <x:f>C68-('Torrent inputs'!C51/'Torrent inputs'!$C$64)</x:f>
        <x:v>0</x:v>
      </x:c>
      <x:c r="D84" s="34" t="n">
        <x:f>D68-('Torrent inputs'!D51/'Torrent inputs'!$C$64)</x:f>
        <x:v>1.1368683772161603e-13</x:v>
      </x:c>
      <x:c r="E84" s="34" t="n">
        <x:f>E68-('Torrent inputs'!E51/'Torrent inputs'!$C$64)</x:f>
        <x:v>2.2737367544323206e-13</x:v>
      </x:c>
      <x:c r="F84" s="34" t="n">
        <x:f>F68-('Torrent inputs'!F51/'Torrent inputs'!$C$64)</x:f>
        <x:v>3.410605131648481e-13</x:v>
      </x:c>
      <x:c r="G84" s="34" t="n">
        <x:f>G68-('Torrent inputs'!G51/'Torrent inputs'!$C$64)</x:f>
        <x:v>0</x:v>
      </x:c>
      <x:c r="H84" s="2"/>
      <x:c r="I84" s="2"/>
      <x:c r="J84" s="2"/>
    </x:row>
    <x:row r="85" ht="22" customHeight="1">
      <x:c r="A85" s="2"/>
      <x:c r="B85" s="2" t="str">
        <x:v>Cash bridge vs balance-sheet cash</x:v>
      </x:c>
      <x:c r="C85" s="35" t="n">
        <x:f>C70-C41</x:f>
        <x:v>0</x:v>
      </x:c>
      <x:c r="D85" s="35" t="n">
        <x:f>D70-D41</x:f>
        <x:v>1.1368683772161603e-13</x:v>
      </x:c>
      <x:c r="E85" s="35" t="n">
        <x:f>E70-E41</x:f>
        <x:v>2.2737367544323206e-13</x:v>
      </x:c>
      <x:c r="F85" s="35" t="n">
        <x:f>F70-F41</x:f>
        <x:v>3.410605131648481e-13</x:v>
      </x:c>
      <x:c r="G85" s="35" t="n">
        <x:f>G70-G41</x:f>
        <x:v>0</x:v>
      </x:c>
      <x:c r="H85" s="2"/>
      <x:c r="I85" s="2"/>
      <x:c r="J85" s="2"/>
    </x:row>
    <x:row r="86" ht="22" customHeight="1">
      <x:c r="A86" s="2"/>
      <x:c r="B86" s="2" t="str">
        <x:v>Basic EPS vs adjusted reported EPS</x:v>
      </x:c>
      <x:c r="C86" s="34" t="n">
        <x:f>C76-'Torrent inputs'!C60/'Torrent inputs'!C58</x:f>
        <x:v>-0.0008770264418345164</x:v>
      </x:c>
      <x:c r="D86" s="34" t="n">
        <x:f>D76-'Torrent inputs'!D60/'Torrent inputs'!D58</x:f>
        <x:v>0.003228578290194406</x:v>
      </x:c>
      <x:c r="E86" s="34" t="n">
        <x:f>E76-'Torrent inputs'!E60/'Torrent inputs'!E58</x:f>
        <x:v>0.002636355212821684</x:v>
      </x:c>
      <x:c r="F86" s="34" t="n">
        <x:f>F76-'Torrent inputs'!F60/'Torrent inputs'!F58</x:f>
        <x:v>0.0008278037369962021</x:v>
      </x:c>
      <x:c r="G86" s="34" t="n">
        <x:f>G76-'Torrent inputs'!G60/'Torrent inputs'!G58</x:f>
        <x:v>0.0014359868462108238</x:v>
      </x:c>
      <x:c r="H86" s="2"/>
      <x:c r="I86" s="2"/>
      <x:c r="J86" s="2"/>
    </x:row>
    <x:row r="87" ht="22" customHeight="1">
      <x:c r="A87" s="2"/>
      <x:c r="B87" s="2" t="str">
        <x:v>Diluted EPS vs adjusted reported EPS</x:v>
      </x:c>
      <x:c r="C87" s="34" t="n">
        <x:f>C77-'Torrent inputs'!C61/'Torrent inputs'!C58</x:f>
        <x:v>-0.0008770264418345164</x:v>
      </x:c>
      <x:c r="D87" s="34" t="n">
        <x:f>D77-'Torrent inputs'!D61/'Torrent inputs'!D58</x:f>
        <x:v>0.003228578290194406</x:v>
      </x:c>
      <x:c r="E87" s="34" t="n">
        <x:f>E77-'Torrent inputs'!E61/'Torrent inputs'!E58</x:f>
        <x:v>0.002636355212821684</x:v>
      </x:c>
      <x:c r="F87" s="34" t="n">
        <x:f>F77-'Torrent inputs'!F61/'Torrent inputs'!F58</x:f>
        <x:v>0.0008278037369962021</x:v>
      </x:c>
      <x:c r="G87" s="34" t="n">
        <x:f>G77-'Torrent inputs'!G61/'Torrent inputs'!G58</x:f>
        <x:v>0.0014359868462108238</x:v>
      </x:c>
      <x:c r="H87" s="2"/>
      <x:c r="I87" s="2"/>
      <x:c r="J87" s="2"/>
    </x:row>
    <x:row r="88" ht="22" customHeight="1">
      <x:c r="A88" s="2"/>
      <x:c r="B88" s="2" t="str">
        <x:v>Reconciliation status</x:v>
      </x:c>
      <x:c r="C88" s="3" t="str">
        <x:f>IF(AND(ABS(C81)&lt;0.02,ABS(C82)&lt;0.02,ABS(C83)&lt;0.02,ABS(C84)&lt;0.02,ABS(C85)&lt;0.02,ABS(C86)&lt;0.01,ABS(C87)&lt;0.01),"PASS","REVIEW")</x:f>
        <x:v>PASS</x:v>
      </x:c>
      <x:c r="D88" s="3" t="str">
        <x:f>IF(AND(ABS(D81)&lt;0.02,ABS(D82)&lt;0.02,ABS(D83)&lt;0.02,ABS(D84)&lt;0.02,ABS(D85)&lt;0.02,ABS(D86)&lt;0.01,ABS(D87)&lt;0.01),"PASS","REVIEW")</x:f>
        <x:v>PASS</x:v>
      </x:c>
      <x:c r="E88" s="3" t="str">
        <x:f>IF(AND(ABS(E81)&lt;0.02,ABS(E82)&lt;0.02,ABS(E83)&lt;0.02,ABS(E84)&lt;0.02,ABS(E85)&lt;0.02,ABS(E86)&lt;0.01,ABS(E87)&lt;0.01),"PASS","REVIEW")</x:f>
        <x:v>PASS</x:v>
      </x:c>
      <x:c r="F88" s="3" t="str">
        <x:f>IF(AND(ABS(F81)&lt;0.02,ABS(F82)&lt;0.02,ABS(F83)&lt;0.02,ABS(F84)&lt;0.02,ABS(F85)&lt;0.02,ABS(F86)&lt;0.01,ABS(F87)&lt;0.01),"PASS","REVIEW")</x:f>
        <x:v>PASS</x:v>
      </x:c>
      <x:c r="G88" s="3" t="str">
        <x:f>IF(AND(ABS(G81)&lt;0.02,ABS(G82)&lt;0.02,ABS(G83)&lt;0.02,ABS(G84)&lt;0.02,ABS(G85)&lt;0.02,ABS(G86)&lt;0.01,ABS(G87)&lt;0.01),"PASS","REVIEW")</x:f>
        <x:v>PASS</x:v>
      </x:c>
      <x:c r="H88" s="2"/>
      <x:c r="I88" s="2"/>
      <x:c r="J88" s="2"/>
    </x:row>
    <x:row r="89" ht="22" customHeight="1">
      <x:c r="A89" s="2"/>
      <x:c r="B89" s="2"/>
      <x:c r="C89" s="3"/>
      <x:c r="D89" s="3"/>
      <x:c r="E89" s="3"/>
      <x:c r="F89" s="3"/>
      <x:c r="G89" s="3"/>
      <x:c r="H89" s="2"/>
      <x:c r="I89" s="2"/>
      <x:c r="J89" s="2"/>
    </x:row>
    <x:row r="90" ht="45" customHeight="1">
      <x:c r="A90" s="2"/>
      <x:c r="B90" s="8" t="str">
        <x:v>Operating EBITDA retains ESOP expense and excludes other income, finance costs, D&amp;A and exceptional items. The separate before-ESOP measure is an adjustment, not a substitute for statutory earnings.</x:v>
      </x:c>
      <x:c r="C90" s="9"/>
      <x:c r="D90" s="9"/>
      <x:c r="E90" s="9"/>
      <x:c r="F90" s="9"/>
      <x:c r="G90" s="9"/>
      <x:c r="H90" s="2"/>
      <x:c r="I90" s="2"/>
      <x:c r="J90" s="2"/>
    </x:row>
    <x:row r="91" ht="45" customHeight="1">
      <x:c r="A91" s="2"/>
      <x:c r="B91" s="8" t="str">
        <x:v>COGS is a material-cost proxy: materials + purchases + inventory change; it excludes labour and other production overheads. Gross margin and closing-balance working-capital days use this definition.</x:v>
      </x:c>
      <x:c r="C91" s="9"/>
      <x:c r="D91" s="9"/>
      <x:c r="E91" s="9"/>
      <x:c r="F91" s="9"/>
      <x:c r="G91" s="9"/>
      <x:c r="H91" s="2"/>
      <x:c r="I91" s="2"/>
      <x:c r="J91" s="2"/>
    </x:row>
    <x:row r="92" ht="45" customHeight="1">
      <x:c r="A92" s="2"/>
      <x:c r="B92" s="8" t="str">
        <x:v>Net debt = borrowings − cash − selected current investments; leases, other bank balances and non-current deposits are excluded. Cash flow after capex is after cash taxes; it is not unlevered DCF free cash flow.</x:v>
      </x:c>
      <x:c r="C92" s="9"/>
      <x:c r="D92" s="9"/>
      <x:c r="E92" s="9"/>
      <x:c r="F92" s="9"/>
      <x:c r="G92" s="9"/>
      <x:c r="H92" s="2"/>
      <x:c r="I92" s="2"/>
      <x:c r="J92" s="2"/>
    </x:row>
    <x:row r="93" ht="45" customHeight="1">
      <x:c r="A93" s="2"/>
      <x:c r="B93" s="8" t="str">
        <x:v>FY22 includes INR 484.70 crore exceptional impairment; FY24 includes an INR 88.38 crore exceptional gain. D&amp;A retains any non-exceptional impairment. FY23 acquisition payments relate to Curatio.</x:v>
      </x:c>
      <x:c r="C93" s="9"/>
      <x:c r="D93" s="9"/>
      <x:c r="E93" s="9"/>
      <x:c r="F93" s="9"/>
      <x:c r="G93" s="9"/>
      <x:c r="H93" s="2"/>
      <x:c r="I93" s="2"/>
      <x:c r="J93" s="2"/>
    </x:row>
    <x:row r="94" ht="42" customHeight="1">
      <x:c r="A94" s="2"/>
      <x:c r="B94" s="8" t="str">
        <x:v>EPS uses owners’ PAT and weighted-average shares restated for the Torrent bonus / JB split. Blank prior-year growth is shown as n/a. Checks allow INR 0.02 crore rounding and INR 0.01 per share.</x:v>
      </x:c>
      <x:c r="C94" s="9"/>
      <x:c r="D94" s="9"/>
      <x:c r="E94" s="9"/>
      <x:c r="F94" s="9"/>
      <x:c r="G94" s="9"/>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sheetData>
  <x:mergeCells>
    <x:mergeCell ref="B2:G2"/>
    <x:mergeCell ref="B3:G3"/>
    <x:mergeCell ref="B6:G6"/>
    <x:mergeCell ref="B31:G31"/>
    <x:mergeCell ref="B54:G54"/>
    <x:mergeCell ref="B72:G72"/>
    <x:mergeCell ref="B80:G80"/>
    <x:mergeCell ref="B90:G90"/>
    <x:mergeCell ref="B91:G91"/>
    <x:mergeCell ref="B92:G92"/>
    <x:mergeCell ref="B93:G93"/>
    <x:mergeCell ref="B94:G94"/>
  </x:mergeCells>
  <x:conditionalFormatting sqref="C88:G88">
    <x:cfRule type="containsText" dxfId="0" priority="1" operator="containsText" text="REVIEW"/>
  </x:conditionalFormatting>
  <x:pageMargins left="0.7" right="0.7" top="0.75" bottom="0.75" header="0.3" footer="0.3"/>
</x:worksheet>
</file>

<file path=xl/worksheets/sheet3.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x:row>
    <x:row r="2" ht="38" customHeight="1">
      <x:c r="A2" s="2"/>
      <x:c r="B2" s="4" t="str">
        <x:v>JB | historical financials</x:v>
      </x:c>
      <x:c r="C2" s="5"/>
      <x:c r="D2" s="5"/>
      <x:c r="E2" s="5"/>
      <x:c r="F2" s="5"/>
      <x:c r="G2" s="5"/>
      <x:c r="H2" s="2"/>
      <x:c r="I2" s="2"/>
      <x:c r="J2" s="2"/>
    </x:row>
    <x:row r="3" ht="30" customHeight="1">
      <x:c r="A3" s="2"/>
      <x:c r="B3" s="8" t="str">
        <x:v>FY21–FY25 • consolidated • INR crore, except percentages, ratios and per-share data</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PROFITABILITY</x:v>
      </x:c>
      <x:c r="C6" s="18"/>
      <x:c r="D6" s="18"/>
      <x:c r="E6" s="18"/>
      <x:c r="F6" s="18"/>
      <x:c r="G6" s="18"/>
      <x:c r="H6" s="2"/>
      <x:c r="I6" s="2"/>
      <x:c r="J6" s="2"/>
    </x:row>
    <x:row r="7" ht="22" customHeight="1">
      <x:c r="A7" s="2"/>
      <x:c r="B7" s="38" t="str">
        <x:v>Revenue from operations</x:v>
      </x:c>
      <x:c r="C7" s="39" t="n">
        <x:f>'JB inputs'!C7/'JB inputs'!$C$64</x:f>
        <x:v>2042.5214999999998</x:v>
      </x:c>
      <x:c r="D7" s="39" t="n">
        <x:f>'JB inputs'!D7/'JB inputs'!$C$64</x:f>
        <x:v>2424.2438</x:v>
      </x:c>
      <x:c r="E7" s="39" t="n">
        <x:f>'JB inputs'!E7/'JB inputs'!$C$64</x:f>
        <x:v>3149.2828000000004</x:v>
      </x:c>
      <x:c r="F7" s="39" t="n">
        <x:f>'JB inputs'!F7/'JB inputs'!$C$64</x:f>
        <x:v>3484.1838000000002</x:v>
      </x:c>
      <x:c r="G7" s="39" t="n">
        <x:f>'JB inputs'!G7/'JB inputs'!$C$64</x:f>
        <x:v>3917.9885999999997</x:v>
      </x:c>
      <x:c r="H7" s="2"/>
      <x:c r="I7" s="2"/>
      <x:c r="J7" s="2"/>
    </x:row>
    <x:row r="8" ht="22" customHeight="1">
      <x:c r="A8" s="2"/>
      <x:c r="B8" s="30" t="str">
        <x:v>Revenue growth</x:v>
      </x:c>
      <x:c r="C8" s="31" t="str">
        <x:v>n/a</x:v>
      </x:c>
      <x:c r="D8" s="31" t="n">
        <x:f>D7/C7-1</x:f>
        <x:v>0.18688777572231197</x:v>
      </x:c>
      <x:c r="E8" s="31" t="n">
        <x:f>E7/D7-1</x:f>
        <x:v>0.29907841777299793</x:v>
      </x:c>
      <x:c r="F8" s="31" t="n">
        <x:f>F7/E7-1</x:f>
        <x:v>0.10634198999213407</x:v>
      </x:c>
      <x:c r="G8" s="31" t="n">
        <x:f>G7/F7-1</x:f>
        <x:v>0.12450686441972425</x:v>
      </x:c>
      <x:c r="H8" s="2"/>
      <x:c r="I8" s="2"/>
      <x:c r="J8" s="2"/>
    </x:row>
    <x:row r="9" ht="22" customHeight="1">
      <x:c r="A9" s="2"/>
      <x:c r="B9" s="2" t="str">
        <x:v>Cost of goods sold</x:v>
      </x:c>
      <x:c r="C9" s="28" t="n">
        <x:f>('JB inputs'!C8+'JB inputs'!C9+'JB inputs'!C10)/'JB inputs'!$C$64</x:f>
        <x:v>701.4989999999999</x:v>
      </x:c>
      <x:c r="D9" s="28" t="n">
        <x:f>('JB inputs'!D8+'JB inputs'!D9+'JB inputs'!D10)/'JB inputs'!$C$64</x:f>
        <x:v>842.9341000000001</x:v>
      </x:c>
      <x:c r="E9" s="28" t="n">
        <x:f>('JB inputs'!E8+'JB inputs'!E9+'JB inputs'!E10)/'JB inputs'!$C$64</x:f>
        <x:v>1168.2017</x:v>
      </x:c>
      <x:c r="F9" s="28" t="n">
        <x:f>('JB inputs'!F8+'JB inputs'!F9+'JB inputs'!F10)/'JB inputs'!$C$64</x:f>
        <x:v>1182.0563</x:v>
      </x:c>
      <x:c r="G9" s="28" t="n">
        <x:f>('JB inputs'!G8+'JB inputs'!G9+'JB inputs'!G10)/'JB inputs'!$C$64</x:f>
        <x:v>1316.5497</x:v>
      </x:c>
      <x:c r="H9" s="2"/>
      <x:c r="I9" s="2"/>
      <x:c r="J9" s="2"/>
    </x:row>
    <x:row r="10" ht="22" customHeight="1">
      <x:c r="A10" s="2"/>
      <x:c r="B10" s="38" t="str">
        <x:v>Gross profit</x:v>
      </x:c>
      <x:c r="C10" s="41" t="n">
        <x:f>C7-C9</x:f>
        <x:v>1341.0225</x:v>
      </x:c>
      <x:c r="D10" s="41" t="n">
        <x:f>D7-D9</x:f>
        <x:v>1581.3097000000002</x:v>
      </x:c>
      <x:c r="E10" s="41" t="n">
        <x:f>E7-E9</x:f>
        <x:v>1981.0811000000003</x:v>
      </x:c>
      <x:c r="F10" s="41" t="n">
        <x:f>F7-F9</x:f>
        <x:v>2302.1275000000005</x:v>
      </x:c>
      <x:c r="G10" s="41" t="n">
        <x:f>G7-G9</x:f>
        <x:v>2601.4388999999996</x:v>
      </x:c>
      <x:c r="H10" s="2"/>
      <x:c r="I10" s="2"/>
      <x:c r="J10" s="2"/>
    </x:row>
    <x:row r="11" ht="22" customHeight="1">
      <x:c r="A11" s="2"/>
      <x:c r="B11" s="30" t="str">
        <x:v>Gross margin</x:v>
      </x:c>
      <x:c r="C11" s="31" t="n">
        <x:f>C10/C7</x:f>
        <x:v>0.6565524524466451</x:v>
      </x:c>
      <x:c r="D11" s="31" t="n">
        <x:f>D10/D7</x:f>
        <x:v>0.6522898810754926</x:v>
      </x:c>
      <x:c r="E11" s="31" t="n">
        <x:f>E10/E7</x:f>
        <x:v>0.6290578604119008</x:v>
      </x:c>
      <x:c r="F11" s="31" t="n">
        <x:f>F10/F7</x:f>
        <x:v>0.6607365260122041</x:v>
      </x:c>
      <x:c r="G11" s="31" t="n">
        <x:f>G10/G7</x:f>
        <x:v>0.663973065158995</x:v>
      </x:c>
      <x:c r="H11" s="2"/>
      <x:c r="I11" s="2"/>
      <x:c r="J11" s="2"/>
    </x:row>
    <x:row r="12" ht="22" customHeight="1">
      <x:c r="A12" s="2"/>
      <x:c r="B12" s="2" t="str">
        <x:v>Employee expense</x:v>
      </x:c>
      <x:c r="C12" s="28" t="n">
        <x:f>'JB inputs'!C11/'JB inputs'!$C$64</x:f>
        <x:v>340.60089999999997</x:v>
      </x:c>
      <x:c r="D12" s="28" t="n">
        <x:f>'JB inputs'!D11/'JB inputs'!$C$64</x:f>
        <x:v>439.2422</x:v>
      </x:c>
      <x:c r="E12" s="28" t="n">
        <x:f>'JB inputs'!E11/'JB inputs'!$C$64</x:f>
        <x:v>543.451</x:v>
      </x:c>
      <x:c r="F12" s="28" t="n">
        <x:f>'JB inputs'!F11/'JB inputs'!$C$64</x:f>
        <x:v>601.4111</x:v>
      </x:c>
      <x:c r="G12" s="28" t="n">
        <x:f>'JB inputs'!G11/'JB inputs'!$C$64</x:f>
        <x:v>687.6078</x:v>
      </x:c>
      <x:c r="H12" s="2"/>
      <x:c r="I12" s="2"/>
      <x:c r="J12" s="2"/>
    </x:row>
    <x:row r="13" ht="22" customHeight="1">
      <x:c r="A13" s="2"/>
      <x:c r="B13" s="2" t="str">
        <x:v>Other operating expenses</x:v>
      </x:c>
      <x:c r="C13" s="28" t="n">
        <x:f>'JB inputs'!C12/'JB inputs'!$C$64</x:f>
        <x:v>440.0127</x:v>
      </x:c>
      <x:c r="D13" s="28" t="n">
        <x:f>'JB inputs'!D12/'JB inputs'!$C$64</x:f>
        <x:v>598.6114</x:v>
      </x:c>
      <x:c r="E13" s="28" t="n">
        <x:f>'JB inputs'!E12/'JB inputs'!$C$64</x:f>
        <x:v>741.8775999999999</x:v>
      </x:c>
      <x:c r="F13" s="28" t="n">
        <x:f>'JB inputs'!F12/'JB inputs'!$C$64</x:f>
        <x:v>803.8261</x:v>
      </x:c>
      <x:c r="G13" s="28" t="n">
        <x:f>'JB inputs'!G12/'JB inputs'!$C$64</x:f>
        <x:v>881.9925999999999</x:v>
      </x:c>
      <x:c r="H13" s="2"/>
      <x:c r="I13" s="2"/>
      <x:c r="J13" s="2"/>
    </x:row>
    <x:row r="14" ht="22" customHeight="1">
      <x:c r="A14" s="2"/>
      <x:c r="B14" s="38" t="str">
        <x:v>Operating EBITDA</x:v>
      </x:c>
      <x:c r="C14" s="41" t="n">
        <x:f>C10-C12-C13</x:f>
        <x:v>560.4089000000001</x:v>
      </x:c>
      <x:c r="D14" s="41" t="n">
        <x:f>D10-D12-D13</x:f>
        <x:v>543.4561000000001</x:v>
      </x:c>
      <x:c r="E14" s="41" t="n">
        <x:f>E10-E12-E13</x:f>
        <x:v>695.7525000000004</x:v>
      </x:c>
      <x:c r="F14" s="41" t="n">
        <x:f>F10-F12-F13</x:f>
        <x:v>896.8903000000005</x:v>
      </x:c>
      <x:c r="G14" s="41" t="n">
        <x:f>G10-G12-G13</x:f>
        <x:v>1031.8384999999998</x:v>
      </x:c>
      <x:c r="H14" s="2"/>
      <x:c r="I14" s="2"/>
      <x:c r="J14" s="2"/>
    </x:row>
    <x:row r="15" ht="22" customHeight="1">
      <x:c r="A15" s="2"/>
      <x:c r="B15" s="30" t="str">
        <x:v>Operating EBITDA margin</x:v>
      </x:c>
      <x:c r="C15" s="31" t="n">
        <x:f>C14/C7</x:f>
        <x:v>0.27437111433098754</x:v>
      </x:c>
      <x:c r="D15" s="31" t="n">
        <x:f>D14/D7</x:f>
        <x:v>0.22417551403039582</x:v>
      </x:c>
      <x:c r="E15" s="31" t="n">
        <x:f>E14/E7</x:f>
        <x:v>0.22092411008627116</x:v>
      </x:c>
      <x:c r="F15" s="31" t="n">
        <x:f>F14/F7</x:f>
        <x:v>0.25741761958711834</x:v>
      </x:c>
      <x:c r="G15" s="31" t="n">
        <x:f>G14/G7</x:f>
        <x:v>0.2633592399937049</x:v>
      </x:c>
      <x:c r="H15" s="2"/>
      <x:c r="I15" s="2"/>
      <x:c r="J15" s="2"/>
    </x:row>
    <x:row r="16" ht="22" customHeight="1">
      <x:c r="A16" s="2"/>
      <x:c r="B16" s="2" t="str">
        <x:v>ESOP expense added back</x:v>
      </x:c>
      <x:c r="C16" s="28" t="n">
        <x:f>'JB inputs'!C21/'JB inputs'!$C$64</x:f>
        <x:v>0</x:v>
      </x:c>
      <x:c r="D16" s="28" t="n">
        <x:f>'JB inputs'!D21/'JB inputs'!$C$64</x:f>
        <x:v>62.6535</x:v>
      </x:c>
      <x:c r="E16" s="28" t="n">
        <x:f>'JB inputs'!E21/'JB inputs'!$C$64</x:f>
        <x:v>69.3734</x:v>
      </x:c>
      <x:c r="F16" s="28" t="n">
        <x:f>'JB inputs'!F21/'JB inputs'!$C$64</x:f>
        <x:v>41.966499999999996</x:v>
      </x:c>
      <x:c r="G16" s="28" t="n">
        <x:f>'JB inputs'!G21/'JB inputs'!$C$64</x:f>
        <x:v>54.9026</x:v>
      </x:c>
      <x:c r="H16" s="2"/>
      <x:c r="I16" s="2"/>
      <x:c r="J16" s="2"/>
    </x:row>
    <x:row r="17" ht="22" customHeight="1">
      <x:c r="A17" s="2"/>
      <x:c r="B17" s="38" t="str">
        <x:v>EBITDA before ESOP expense</x:v>
      </x:c>
      <x:c r="C17" s="41" t="n">
        <x:f>C14+C16</x:f>
        <x:v>560.4089000000001</x:v>
      </x:c>
      <x:c r="D17" s="41" t="n">
        <x:f>D14+D16</x:f>
        <x:v>606.1096000000001</x:v>
      </x:c>
      <x:c r="E17" s="41" t="n">
        <x:f>E14+E16</x:f>
        <x:v>765.1259000000005</x:v>
      </x:c>
      <x:c r="F17" s="41" t="n">
        <x:f>F14+F16</x:f>
        <x:v>938.8568000000005</x:v>
      </x:c>
      <x:c r="G17" s="41" t="n">
        <x:f>G14+G16</x:f>
        <x:v>1086.7410999999997</x:v>
      </x:c>
      <x:c r="H17" s="2"/>
      <x:c r="I17" s="2"/>
      <x:c r="J17" s="2"/>
    </x:row>
    <x:row r="18" ht="22" customHeight="1">
      <x:c r="A18" s="2"/>
      <x:c r="B18" s="30" t="str">
        <x:v>EBITDA margin before ESOP</x:v>
      </x:c>
      <x:c r="C18" s="31" t="n">
        <x:f>C17/C7</x:f>
        <x:v>0.27437111433098754</x:v>
      </x:c>
      <x:c r="D18" s="31" t="n">
        <x:f>D17/D7</x:f>
        <x:v>0.2500200681136114</x:v>
      </x:c>
      <x:c r="E18" s="31" t="n">
        <x:f>E17/E7</x:f>
        <x:v>0.24295242713674375</x:v>
      </x:c>
      <x:c r="F18" s="31" t="n">
        <x:f>F17/F7</x:f>
        <x:v>0.26946247784057786</x:v>
      </x:c>
      <x:c r="G18" s="31" t="n">
        <x:f>G17/G7</x:f>
        <x:v>0.2773721955188945</x:v>
      </x:c>
      <x:c r="H18" s="2"/>
      <x:c r="I18" s="2"/>
      <x:c r="J18" s="2"/>
    </x:row>
    <x:row r="19" ht="22" customHeight="1">
      <x:c r="A19" s="2"/>
      <x:c r="B19" s="2" t="str">
        <x:v>Depreciation, amortisation &amp; impairment</x:v>
      </x:c>
      <x:c r="C19" s="28" t="n">
        <x:f>'JB inputs'!C13/'JB inputs'!$C$64</x:f>
        <x:v>68.66550000000001</x:v>
      </x:c>
      <x:c r="D19" s="28" t="n">
        <x:f>'JB inputs'!D13/'JB inputs'!$C$64</x:f>
        <x:v>72.6599</x:v>
      </x:c>
      <x:c r="E19" s="28" t="n">
        <x:f>'JB inputs'!E13/'JB inputs'!$C$64</x:f>
        <x:v>114.40690000000001</x:v>
      </x:c>
      <x:c r="F19" s="28" t="n">
        <x:f>'JB inputs'!F13/'JB inputs'!$C$64</x:f>
        <x:v>138.3204</x:v>
      </x:c>
      <x:c r="G19" s="28" t="n">
        <x:f>'JB inputs'!G13/'JB inputs'!$C$64</x:f>
        <x:v>171.03689999999997</x:v>
      </x:c>
      <x:c r="H19" s="2"/>
      <x:c r="I19" s="2"/>
      <x:c r="J19" s="2"/>
    </x:row>
    <x:row r="20" ht="22" customHeight="1">
      <x:c r="A20" s="2"/>
      <x:c r="B20" s="38" t="str">
        <x:v>Operating EBIT</x:v>
      </x:c>
      <x:c r="C20" s="41" t="n">
        <x:f>C14-C19</x:f>
        <x:v>491.7434000000001</x:v>
      </x:c>
      <x:c r="D20" s="41" t="n">
        <x:f>D14-D19</x:f>
        <x:v>470.7962000000001</x:v>
      </x:c>
      <x:c r="E20" s="41" t="n">
        <x:f>E14-E19</x:f>
        <x:v>581.3456000000003</x:v>
      </x:c>
      <x:c r="F20" s="41" t="n">
        <x:f>F14-F19</x:f>
        <x:v>758.5699000000004</x:v>
      </x:c>
      <x:c r="G20" s="41" t="n">
        <x:f>G14-G19</x:f>
        <x:v>860.8015999999999</x:v>
      </x:c>
      <x:c r="H20" s="2"/>
      <x:c r="I20" s="2"/>
      <x:c r="J20" s="2"/>
    </x:row>
    <x:row r="21" ht="22" customHeight="1">
      <x:c r="A21" s="2"/>
      <x:c r="B21" s="2" t="str">
        <x:v>Other income</x:v>
      </x:c>
      <x:c r="C21" s="28" t="n">
        <x:f>'JB inputs'!C15/'JB inputs'!$C$64</x:f>
        <x:v>112.3832</x:v>
      </x:c>
      <x:c r="D21" s="28" t="n">
        <x:f>'JB inputs'!D15/'JB inputs'!$C$64</x:f>
        <x:v>39.2263</x:v>
      </x:c>
      <x:c r="E21" s="28" t="n">
        <x:f>'JB inputs'!E15/'JB inputs'!$C$64</x:f>
        <x:v>9.9401</x:v>
      </x:c>
      <x:c r="F21" s="28" t="n">
        <x:f>'JB inputs'!F15/'JB inputs'!$C$64</x:f>
        <x:v>37.266</x:v>
      </x:c>
      <x:c r="G21" s="28" t="n">
        <x:f>'JB inputs'!G15/'JB inputs'!$C$64</x:f>
        <x:v>38.319</x:v>
      </x:c>
      <x:c r="H21" s="2"/>
      <x:c r="I21" s="2"/>
      <x:c r="J21" s="2"/>
    </x:row>
    <x:row r="22" ht="22" customHeight="1">
      <x:c r="A22" s="2"/>
      <x:c r="B22" s="2" t="str">
        <x:v>Finance costs</x:v>
      </x:c>
      <x:c r="C22" s="28" t="n">
        <x:f>'JB inputs'!C14/'JB inputs'!$C$64</x:f>
        <x:v>7.2412</x:v>
      </x:c>
      <x:c r="D22" s="28" t="n">
        <x:f>'JB inputs'!D14/'JB inputs'!$C$64</x:f>
        <x:v>5.1205</x:v>
      </x:c>
      <x:c r="E22" s="28" t="n">
        <x:f>'JB inputs'!E14/'JB inputs'!$C$64</x:f>
        <x:v>36.0531</x:v>
      </x:c>
      <x:c r="F22" s="28" t="n">
        <x:f>'JB inputs'!F14/'JB inputs'!$C$64</x:f>
        <x:v>44.3267</x:v>
      </x:c>
      <x:c r="G22" s="28" t="n">
        <x:f>'JB inputs'!G14/'JB inputs'!$C$64</x:f>
        <x:v>11.729000000000001</x:v>
      </x:c>
      <x:c r="H22" s="2"/>
      <x:c r="I22" s="2"/>
      <x:c r="J22" s="2"/>
    </x:row>
    <x:row r="23" ht="22" customHeight="1">
      <x:c r="A23" s="2"/>
      <x:c r="B23" s="2" t="str">
        <x:v>Exceptional expense / (gain)</x:v>
      </x:c>
      <x:c r="C23" s="28" t="n">
        <x:f>'JB inputs'!C16/'JB inputs'!$C$64</x:f>
        <x:v>0</x:v>
      </x:c>
      <x:c r="D23" s="28" t="n">
        <x:f>'JB inputs'!D16/'JB inputs'!$C$64</x:f>
        <x:v>0</x:v>
      </x:c>
      <x:c r="E23" s="28" t="n">
        <x:f>'JB inputs'!E16/'JB inputs'!$C$64</x:f>
        <x:v>0</x:v>
      </x:c>
      <x:c r="F23" s="28" t="n">
        <x:f>'JB inputs'!F16/'JB inputs'!$C$64</x:f>
        <x:v>0</x:v>
      </x:c>
      <x:c r="G23" s="28" t="n">
        <x:f>'JB inputs'!G16/'JB inputs'!$C$64</x:f>
        <x:v>0</x:v>
      </x:c>
      <x:c r="H23" s="2"/>
      <x:c r="I23" s="2"/>
      <x:c r="J23" s="2"/>
    </x:row>
    <x:row r="24" ht="22" customHeight="1">
      <x:c r="A24" s="2"/>
      <x:c r="B24" s="38" t="str">
        <x:v>Profit before tax</x:v>
      </x:c>
      <x:c r="C24" s="41" t="n">
        <x:f>C20+C21-C22-C23</x:f>
        <x:v>596.8854000000001</x:v>
      </x:c>
      <x:c r="D24" s="41" t="n">
        <x:f>D20+D21-D22-D23</x:f>
        <x:v>504.9020000000001</x:v>
      </x:c>
      <x:c r="E24" s="41" t="n">
        <x:f>E20+E21-E22-E23</x:f>
        <x:v>555.2326000000004</x:v>
      </x:c>
      <x:c r="F24" s="41" t="n">
        <x:f>F20+F21-F22-F23</x:f>
        <x:v>751.5092000000004</x:v>
      </x:c>
      <x:c r="G24" s="41" t="n">
        <x:f>G20+G21-G22-G23</x:f>
        <x:v>887.3915999999998</x:v>
      </x:c>
      <x:c r="H24" s="2"/>
      <x:c r="I24" s="2"/>
      <x:c r="J24" s="2"/>
    </x:row>
    <x:row r="25" ht="22" customHeight="1">
      <x:c r="A25" s="2"/>
      <x:c r="B25" s="2" t="str">
        <x:v>Tax expense</x:v>
      </x:c>
      <x:c r="C25" s="28" t="n">
        <x:f>'JB inputs'!C17/'JB inputs'!$C$64</x:f>
        <x:v>148.3624</x:v>
      </x:c>
      <x:c r="D25" s="28" t="n">
        <x:f>'JB inputs'!D17/'JB inputs'!$C$64</x:f>
        <x:v>118.86309999999999</x:v>
      </x:c>
      <x:c r="E25" s="28" t="n">
        <x:f>'JB inputs'!E17/'JB inputs'!$C$64</x:f>
        <x:v>145.22729999999999</x:v>
      </x:c>
      <x:c r="F25" s="28" t="n">
        <x:f>'JB inputs'!F17/'JB inputs'!$C$64</x:f>
        <x:v>198.88139999999999</x:v>
      </x:c>
      <x:c r="G25" s="28" t="n">
        <x:f>'JB inputs'!G17/'JB inputs'!$C$64</x:f>
        <x:v>227.8098</x:v>
      </x:c>
      <x:c r="H25" s="2"/>
      <x:c r="I25" s="2"/>
      <x:c r="J25" s="2"/>
    </x:row>
    <x:row r="26" ht="22" customHeight="1">
      <x:c r="A26" s="2"/>
      <x:c r="B26" s="30" t="str">
        <x:v>Effective tax rate</x:v>
      </x:c>
      <x:c r="C26" s="31" t="n">
        <x:f>C25/C24</x:f>
        <x:v>0.2485609465401566</x:v>
      </x:c>
      <x:c r="D26" s="31" t="n">
        <x:f>D25/D24</x:f>
        <x:v>0.23541816035587096</x:v>
      </x:c>
      <x:c r="E26" s="31" t="n">
        <x:f>E25/E24</x:f>
        <x:v>0.2615611907514074</x:v>
      </x:c>
      <x:c r="F26" s="31" t="n">
        <x:f>F25/F24</x:f>
        <x:v>0.26464266837984135</x:v>
      </x:c>
      <x:c r="G26" s="31" t="n">
        <x:f>G25/G24</x:f>
        <x:v>0.256718454400515</x:v>
      </x:c>
      <x:c r="H26" s="2"/>
      <x:c r="I26" s="2"/>
      <x:c r="J26" s="2"/>
    </x:row>
    <x:row r="27" ht="22" customHeight="1">
      <x:c r="A27" s="2"/>
      <x:c r="B27" s="38" t="str">
        <x:v>Total profit after tax</x:v>
      </x:c>
      <x:c r="C27" s="41" t="n">
        <x:f>C24-C25</x:f>
        <x:v>448.52300000000014</x:v>
      </x:c>
      <x:c r="D27" s="41" t="n">
        <x:f>D24-D25</x:f>
        <x:v>386.0389000000001</x:v>
      </x:c>
      <x:c r="E27" s="41" t="n">
        <x:f>E24-E25</x:f>
        <x:v>410.0053000000004</x:v>
      </x:c>
      <x:c r="F27" s="41" t="n">
        <x:f>F24-F25</x:f>
        <x:v>552.6278000000004</x:v>
      </x:c>
      <x:c r="G27" s="41" t="n">
        <x:f>G24-G25</x:f>
        <x:v>659.5817999999998</x:v>
      </x:c>
      <x:c r="H27" s="2"/>
      <x:c r="I27" s="2"/>
      <x:c r="J27" s="2"/>
    </x:row>
    <x:row r="28" ht="22" customHeight="1">
      <x:c r="A28" s="2"/>
      <x:c r="B28" s="38" t="str">
        <x:v>PAT attributable to owners</x:v>
      </x:c>
      <x:c r="C28" s="39" t="n">
        <x:f>'JB inputs'!C20/'JB inputs'!$C$64</x:f>
        <x:v>447.9636</x:v>
      </x:c>
      <x:c r="D28" s="39" t="n">
        <x:f>'JB inputs'!D20/'JB inputs'!$C$64</x:f>
        <x:v>385.3574</x:v>
      </x:c>
      <x:c r="E28" s="39" t="n">
        <x:f>'JB inputs'!E20/'JB inputs'!$C$64</x:f>
        <x:v>409.8355</x:v>
      </x:c>
      <x:c r="F28" s="39" t="n">
        <x:f>'JB inputs'!F20/'JB inputs'!$C$64</x:f>
        <x:v>552.6278</x:v>
      </x:c>
      <x:c r="G28" s="39" t="n">
        <x:f>'JB inputs'!G20/'JB inputs'!$C$64</x:f>
        <x:v>659.5817999999999</x:v>
      </x:c>
      <x:c r="H28" s="2"/>
      <x:c r="I28" s="2"/>
      <x:c r="J28" s="2"/>
    </x:row>
    <x:row r="29" ht="22" customHeight="1">
      <x:c r="A29" s="2"/>
      <x:c r="B29" s="30" t="str">
        <x:v>PAT margin (owners)</x:v>
      </x:c>
      <x:c r="C29" s="31" t="n">
        <x:f>C28/C7</x:f>
        <x:v>0.2193189153700463</x:v>
      </x:c>
      <x:c r="D29" s="31" t="n">
        <x:f>D28/D7</x:f>
        <x:v>0.1589598372902923</x:v>
      </x:c>
      <x:c r="E29" s="31" t="n">
        <x:f>E28/E7</x:f>
        <x:v>0.13013613766283547</x:v>
      </x:c>
      <x:c r="F29" s="31" t="n">
        <x:f>F28/F7</x:f>
        <x:v>0.1586104039631893</x:v>
      </x:c>
      <x:c r="G29" s="31" t="n">
        <x:f>G28/G7</x:f>
        <x:v>0.16834704419507499</x:v>
      </x:c>
      <x:c r="H29" s="2"/>
      <x:c r="I29" s="2"/>
      <x:c r="J29" s="2"/>
    </x:row>
    <x:row r="30" ht="22" customHeight="1">
      <x:c r="A30" s="2"/>
      <x:c r="B30" s="2"/>
      <x:c r="C30" s="3"/>
      <x:c r="D30" s="3"/>
      <x:c r="E30" s="3"/>
      <x:c r="F30" s="3"/>
      <x:c r="G30" s="3"/>
      <x:c r="H30" s="2"/>
      <x:c r="I30" s="2"/>
      <x:c r="J30" s="2"/>
    </x:row>
    <x:row r="31" ht="25" customHeight="1">
      <x:c r="A31" s="2"/>
      <x:c r="B31" s="17" t="str">
        <x:v>BALANCE SHEET &amp; WORKING CAPITAL</x:v>
      </x:c>
      <x:c r="C31" s="18"/>
      <x:c r="D31" s="18"/>
      <x:c r="E31" s="18"/>
      <x:c r="F31" s="18"/>
      <x:c r="G31" s="18"/>
      <x:c r="H31" s="2"/>
      <x:c r="I31" s="2"/>
      <x:c r="J31" s="2"/>
    </x:row>
    <x:row r="32" ht="22" customHeight="1">
      <x:c r="A32" s="2"/>
      <x:c r="B32" s="2" t="str">
        <x:v>Inventories</x:v>
      </x:c>
      <x:c r="C32" s="28" t="n">
        <x:f>'JB inputs'!C24/'JB inputs'!$C$64</x:f>
        <x:v>347.4468</x:v>
      </x:c>
      <x:c r="D32" s="28" t="n">
        <x:f>'JB inputs'!D24/'JB inputs'!$C$64</x:f>
        <x:v>409.9611</x:v>
      </x:c>
      <x:c r="E32" s="28" t="n">
        <x:f>'JB inputs'!E24/'JB inputs'!$C$64</x:f>
        <x:v>430.4843</x:v>
      </x:c>
      <x:c r="F32" s="28" t="n">
        <x:f>'JB inputs'!F24/'JB inputs'!$C$64</x:f>
        <x:v>502.51279999999997</x:v>
      </x:c>
      <x:c r="G32" s="28" t="n">
        <x:f>'JB inputs'!G24/'JB inputs'!$C$64</x:f>
        <x:v>528.9553</x:v>
      </x:c>
      <x:c r="H32" s="2"/>
      <x:c r="I32" s="2"/>
      <x:c r="J32" s="2"/>
    </x:row>
    <x:row r="33" ht="22" customHeight="1">
      <x:c r="A33" s="2"/>
      <x:c r="B33" s="2" t="str">
        <x:v>Trade receivables</x:v>
      </x:c>
      <x:c r="C33" s="28" t="n">
        <x:f>'JB inputs'!C25/'JB inputs'!$C$64</x:f>
        <x:v>389.01910000000004</x:v>
      </x:c>
      <x:c r="D33" s="28" t="n">
        <x:f>'JB inputs'!D25/'JB inputs'!$C$64</x:f>
        <x:v>555.6868</x:v>
      </x:c>
      <x:c r="E33" s="28" t="n">
        <x:f>'JB inputs'!E25/'JB inputs'!$C$64</x:f>
        <x:v>575.8001</x:v>
      </x:c>
      <x:c r="F33" s="28" t="n">
        <x:f>'JB inputs'!F25/'JB inputs'!$C$64</x:f>
        <x:v>686.9188</x:v>
      </x:c>
      <x:c r="G33" s="28" t="n">
        <x:f>'JB inputs'!G25/'JB inputs'!$C$64</x:f>
        <x:v>815.3788000000001</x:v>
      </x:c>
      <x:c r="H33" s="2"/>
      <x:c r="I33" s="2"/>
      <x:c r="J33" s="2"/>
    </x:row>
    <x:row r="34" ht="22" customHeight="1">
      <x:c r="A34" s="2"/>
      <x:c r="B34" s="2" t="str">
        <x:v>Trade payables</x:v>
      </x:c>
      <x:c r="C34" s="28" t="n">
        <x:f>'JB inputs'!C26/'JB inputs'!$C$64</x:f>
        <x:v>186.92340000000002</x:v>
      </x:c>
      <x:c r="D34" s="28" t="n">
        <x:f>'JB inputs'!D26/'JB inputs'!$C$64</x:f>
        <x:v>224.4797</x:v>
      </x:c>
      <x:c r="E34" s="28" t="n">
        <x:f>'JB inputs'!E26/'JB inputs'!$C$64</x:f>
        <x:v>238.64759999999998</x:v>
      </x:c>
      <x:c r="F34" s="28" t="n">
        <x:f>'JB inputs'!F26/'JB inputs'!$C$64</x:f>
        <x:v>356.3103</x:v>
      </x:c>
      <x:c r="G34" s="28" t="n">
        <x:f>'JB inputs'!G26/'JB inputs'!$C$64</x:f>
        <x:v>410.7171</x:v>
      </x:c>
      <x:c r="H34" s="2"/>
      <x:c r="I34" s="2"/>
      <x:c r="J34" s="2"/>
    </x:row>
    <x:row r="35" ht="22" customHeight="1">
      <x:c r="A35" s="2"/>
      <x:c r="B35" s="38" t="str">
        <x:v>Trade working capital</x:v>
      </x:c>
      <x:c r="C35" s="41" t="n">
        <x:f>C32+C33-C34</x:f>
        <x:v>549.5425</x:v>
      </x:c>
      <x:c r="D35" s="41" t="n">
        <x:f>D32+D33-D34</x:f>
        <x:v>741.1682</x:v>
      </x:c>
      <x:c r="E35" s="41" t="n">
        <x:f>E32+E33-E34</x:f>
        <x:v>767.6368</x:v>
      </x:c>
      <x:c r="F35" s="41" t="n">
        <x:f>F32+F33-F34</x:f>
        <x:v>833.1212999999999</x:v>
      </x:c>
      <x:c r="G35" s="41" t="n">
        <x:f>G32+G33-G34</x:f>
        <x:v>933.617</x:v>
      </x:c>
      <x:c r="H35" s="2"/>
      <x:c r="I35" s="2"/>
      <x:c r="J35" s="2"/>
    </x:row>
    <x:row r="36" ht="22" customHeight="1">
      <x:c r="A36" s="2"/>
      <x:c r="B36" s="30" t="str">
        <x:v>Trade working capital / revenue</x:v>
      </x:c>
      <x:c r="C36" s="31" t="n">
        <x:f>C35/C7</x:f>
        <x:v>0.26905102345311915</x:v>
      </x:c>
      <x:c r="D36" s="31" t="n">
        <x:f>D35/D7</x:f>
        <x:v>0.3057317089972551</x:v>
      </x:c>
      <x:c r="E36" s="31" t="n">
        <x:f>E35/E7</x:f>
        <x:v>0.24374971977746804</x:v>
      </x:c>
      <x:c r="F36" s="31" t="n">
        <x:f>F35/F7</x:f>
        <x:v>0.2391151982280613</x:v>
      </x:c>
      <x:c r="G36" s="31" t="n">
        <x:f>G35/G7</x:f>
        <x:v>0.2382898714917139</x:v>
      </x:c>
      <x:c r="H36" s="2"/>
      <x:c r="I36" s="2"/>
      <x:c r="J36" s="2"/>
    </x:row>
    <x:row r="37" ht="22" customHeight="1">
      <x:c r="A37" s="2"/>
      <x:c r="B37" s="2" t="str">
        <x:v>Receivable days</x:v>
      </x:c>
      <x:c r="C37" s="28" t="n">
        <x:f>C33/C7*'JB inputs'!$C$65</x:f>
        <x:v>69.51798132847074</x:v>
      </x:c>
      <x:c r="D37" s="28" t="n">
        <x:f>D33/D7*'JB inputs'!$C$65</x:f>
        <x:v>83.66554634480244</x:v>
      </x:c>
      <x:c r="E37" s="28" t="n">
        <x:f>E33/E7*'JB inputs'!$C$65</x:f>
        <x:v>66.7348884958823</x:v>
      </x:c>
      <x:c r="F37" s="28" t="n">
        <x:f>F33/F7*'JB inputs'!$C$65</x:f>
        <x:v>71.96100332020372</x:v>
      </x:c>
      <x:c r="G37" s="28" t="n">
        <x:f>G33/G7*'JB inputs'!$C$65</x:f>
        <x:v>75.96072688930235</x:v>
      </x:c>
      <x:c r="H37" s="2"/>
      <x:c r="I37" s="2"/>
      <x:c r="J37" s="2"/>
    </x:row>
    <x:row r="38" ht="22" customHeight="1">
      <x:c r="A38" s="2"/>
      <x:c r="B38" s="2" t="str">
        <x:v>Inventory days</x:v>
      </x:c>
      <x:c r="C38" s="28" t="n">
        <x:f>C32/C9*'JB inputs'!$C$65</x:f>
        <x:v>180.78155777841454</x:v>
      </x:c>
      <x:c r="D38" s="28" t="n">
        <x:f>D32/D9*'JB inputs'!$C$65</x:f>
        <x:v>177.51779350248137</x:v>
      </x:c>
      <x:c r="E38" s="28" t="n">
        <x:f>E32/E9*'JB inputs'!$C$65</x:f>
        <x:v>134.50311662789053</x:v>
      </x:c>
      <x:c r="F38" s="28" t="n">
        <x:f>F32/F9*'JB inputs'!$C$65</x:f>
        <x:v>155.1678815975178</x:v>
      </x:c>
      <x:c r="G38" s="28" t="n">
        <x:f>G32/G9*'JB inputs'!$C$65</x:f>
        <x:v>146.64747141714437</x:v>
      </x:c>
      <x:c r="H38" s="2"/>
      <x:c r="I38" s="2"/>
      <x:c r="J38" s="2"/>
    </x:row>
    <x:row r="39" ht="22" customHeight="1">
      <x:c r="A39" s="2"/>
      <x:c r="B39" s="2" t="str">
        <x:v>Payable days</x:v>
      </x:c>
      <x:c r="C39" s="28" t="n">
        <x:f>C34/C9*'JB inputs'!$C$65</x:f>
        <x:v>97.2589283805109</x:v>
      </x:c>
      <x:c r="D39" s="28" t="n">
        <x:f>D34/D9*'JB inputs'!$C$65</x:f>
        <x:v>97.20224926242751</x:v>
      </x:c>
      <x:c r="E39" s="28" t="n">
        <x:f>E34/E9*'JB inputs'!$C$65</x:f>
        <x:v>74.5644985793121</x:v>
      </x:c>
      <x:c r="F39" s="28" t="n">
        <x:f>F34/F9*'JB inputs'!$C$65</x:f>
        <x:v>110.02289780952059</x:v>
      </x:c>
      <x:c r="G39" s="28" t="n">
        <x:f>G34/G9*'JB inputs'!$C$65</x:f>
        <x:v>113.86713429808233</x:v>
      </x:c>
      <x:c r="H39" s="2"/>
      <x:c r="I39" s="2"/>
      <x:c r="J39" s="2"/>
    </x:row>
    <x:row r="40" ht="22" customHeight="1">
      <x:c r="A40" s="2"/>
      <x:c r="B40" s="2" t="str">
        <x:v>Cash conversion cycle (days)</x:v>
      </x:c>
      <x:c r="C40" s="3" t="n">
        <x:f>C37+C38-C39</x:f>
        <x:v>153.04061072637438</x:v>
      </x:c>
      <x:c r="D40" s="3" t="n">
        <x:f>D37+D38-D39</x:f>
        <x:v>163.9810905848563</x:v>
      </x:c>
      <x:c r="E40" s="3" t="n">
        <x:f>E37+E38-E39</x:f>
        <x:v>126.67350654446074</x:v>
      </x:c>
      <x:c r="F40" s="3" t="n">
        <x:f>F37+F38-F39</x:f>
        <x:v>117.10598710820092</x:v>
      </x:c>
      <x:c r="G40" s="3" t="n">
        <x:f>G37+G38-G39</x:f>
        <x:v>108.74106400836439</x:v>
      </x:c>
      <x:c r="H40" s="2"/>
      <x:c r="I40" s="2"/>
      <x:c r="J40" s="2"/>
    </x:row>
    <x:row r="41" ht="22" customHeight="1">
      <x:c r="A41" s="2"/>
      <x:c r="B41" s="2" t="str">
        <x:v>Cash and cash equivalents</x:v>
      </x:c>
      <x:c r="C41" s="28" t="n">
        <x:f>'JB inputs'!C27/'JB inputs'!$C$64</x:f>
        <x:v>28.6855</x:v>
      </x:c>
      <x:c r="D41" s="28" t="n">
        <x:f>'JB inputs'!D27/'JB inputs'!$C$64</x:f>
        <x:v>56.5441</x:v>
      </x:c>
      <x:c r="E41" s="28" t="n">
        <x:f>'JB inputs'!E27/'JB inputs'!$C$64</x:f>
        <x:v>76.9344</x:v>
      </x:c>
      <x:c r="F41" s="28" t="n">
        <x:f>'JB inputs'!F27/'JB inputs'!$C$64</x:f>
        <x:v>88.2151</x:v>
      </x:c>
      <x:c r="G41" s="28" t="n">
        <x:f>'JB inputs'!G27/'JB inputs'!$C$64</x:f>
        <x:v>115.09100000000001</x:v>
      </x:c>
      <x:c r="H41" s="2"/>
      <x:c r="I41" s="2"/>
      <x:c r="J41" s="2"/>
    </x:row>
    <x:row r="42" ht="22" customHeight="1">
      <x:c r="A42" s="2"/>
      <x:c r="B42" s="2" t="str">
        <x:v>Current financial investments</x:v>
      </x:c>
      <x:c r="C42" s="28" t="n">
        <x:f>'JB inputs'!C28/'JB inputs'!$C$64</x:f>
        <x:v>664.9748</x:v>
      </x:c>
      <x:c r="D42" s="28" t="n">
        <x:f>'JB inputs'!D28/'JB inputs'!$C$64</x:f>
        <x:v>0</x:v>
      </x:c>
      <x:c r="E42" s="28" t="n">
        <x:f>'JB inputs'!E28/'JB inputs'!$C$64</x:f>
        <x:v>192.1845</x:v>
      </x:c>
      <x:c r="F42" s="28" t="n">
        <x:f>'JB inputs'!F28/'JB inputs'!$C$64</x:f>
        <x:v>364.6501</x:v>
      </x:c>
      <x:c r="G42" s="28" t="n">
        <x:f>'JB inputs'!G28/'JB inputs'!$C$64</x:f>
        <x:v>317.1085</x:v>
      </x:c>
      <x:c r="H42" s="2"/>
      <x:c r="I42" s="2"/>
      <x:c r="J42" s="2"/>
    </x:row>
    <x:row r="43" ht="22" customHeight="1">
      <x:c r="A43" s="2"/>
      <x:c r="B43" s="38" t="str">
        <x:v>Gross borrowings, excluding leases</x:v>
      </x:c>
      <x:c r="C43" s="39" t="n">
        <x:f>('JB inputs'!C33+'JB inputs'!C34+'JB inputs'!C35)/'JB inputs'!$C$64</x:f>
        <x:v>32.6446</x:v>
      </x:c>
      <x:c r="D43" s="39" t="n">
        <x:f>('JB inputs'!D33+'JB inputs'!D34+'JB inputs'!D35)/'JB inputs'!$C$64</x:f>
        <x:v>26.315</x:v>
      </x:c>
      <x:c r="E43" s="39" t="n">
        <x:f>('JB inputs'!E33+'JB inputs'!E34+'JB inputs'!E35)/'JB inputs'!$C$64</x:f>
        <x:v>548.2383</x:v>
      </x:c>
      <x:c r="F43" s="39" t="n">
        <x:f>('JB inputs'!F33+'JB inputs'!F34+'JB inputs'!F35)/'JB inputs'!$C$64</x:f>
        <x:v>357.1410000000001</x:v>
      </x:c>
      <x:c r="G43" s="39" t="n">
        <x:f>('JB inputs'!G33+'JB inputs'!G34+'JB inputs'!G35)/'JB inputs'!$C$64</x:f>
        <x:v>13.8038</x:v>
      </x:c>
      <x:c r="H43" s="2"/>
      <x:c r="I43" s="2"/>
      <x:c r="J43" s="2"/>
    </x:row>
    <x:row r="44" ht="22" customHeight="1">
      <x:c r="A44" s="2"/>
      <x:c r="B44" s="2" t="str">
        <x:v>Lease liabilities</x:v>
      </x:c>
      <x:c r="C44" s="28" t="n">
        <x:f>('JB inputs'!C36+'JB inputs'!C37)/'JB inputs'!$C$64</x:f>
        <x:v>12.3433</x:v>
      </x:c>
      <x:c r="D44" s="28" t="n">
        <x:f>('JB inputs'!D36+'JB inputs'!D37)/'JB inputs'!$C$64</x:f>
        <x:v>28.2438</x:v>
      </x:c>
      <x:c r="E44" s="28" t="n">
        <x:f>('JB inputs'!E36+'JB inputs'!E37)/'JB inputs'!$C$64</x:f>
        <x:v>24.2079</x:v>
      </x:c>
      <x:c r="F44" s="28" t="n">
        <x:f>('JB inputs'!F36+'JB inputs'!F37)/'JB inputs'!$C$64</x:f>
        <x:v>20.5149</x:v>
      </x:c>
      <x:c r="G44" s="28" t="n">
        <x:f>('JB inputs'!G36+'JB inputs'!G37)/'JB inputs'!$C$64</x:f>
        <x:v>14.085999999999999</x:v>
      </x:c>
      <x:c r="H44" s="2"/>
      <x:c r="I44" s="2"/>
      <x:c r="J44" s="2"/>
    </x:row>
    <x:row r="45" ht="22" customHeight="1">
      <x:c r="A45" s="2"/>
      <x:c r="B45" s="38" t="str">
        <x:v>Net debt / (net cash), excluding leases</x:v>
      </x:c>
      <x:c r="C45" s="41" t="n">
        <x:f>C43-C41-C42</x:f>
        <x:v>-661.0156999999999</x:v>
      </x:c>
      <x:c r="D45" s="41" t="n">
        <x:f>D43-D41-D42</x:f>
        <x:v>-30.2291</x:v>
      </x:c>
      <x:c r="E45" s="41" t="n">
        <x:f>E43-E41-E42</x:f>
        <x:v>279.1194</x:v>
      </x:c>
      <x:c r="F45" s="41" t="n">
        <x:f>F43-F41-F42</x:f>
        <x:v>-95.72419999999994</x:v>
      </x:c>
      <x:c r="G45" s="41" t="n">
        <x:f>G43-G41-G42</x:f>
        <x:v>-418.39570000000003</x:v>
      </x:c>
      <x:c r="H45" s="2"/>
      <x:c r="I45" s="2"/>
      <x:c r="J45" s="2"/>
    </x:row>
    <x:row r="46" ht="22" customHeight="1">
      <x:c r="A46" s="2"/>
      <x:c r="B46" s="30" t="str">
        <x:v>Net debt / operating EBITDA (x)</x:v>
      </x:c>
      <x:c r="C46" s="33" t="n">
        <x:f>C45/C14</x:f>
        <x:v>-1.1795239154838544</x:v>
      </x:c>
      <x:c r="D46" s="33" t="n">
        <x:f>D45/D14</x:f>
        <x:v>-0.05562381211656285</x:v>
      </x:c>
      <x:c r="E46" s="33" t="n">
        <x:f>E45/E14</x:f>
        <x:v>0.4011762803583168</x:v>
      </x:c>
      <x:c r="F46" s="33" t="n">
        <x:f>F45/F14</x:f>
        <x:v>-0.10672899461617534</x:v>
      </x:c>
      <x:c r="G46" s="33" t="n">
        <x:f>G45/G14</x:f>
        <x:v>-0.4054856452826679</x:v>
      </x:c>
      <x:c r="H46" s="2"/>
      <x:c r="I46" s="2"/>
      <x:c r="J46" s="2"/>
    </x:row>
    <x:row r="47" ht="22" customHeight="1">
      <x:c r="A47" s="2"/>
      <x:c r="B47" s="2" t="str">
        <x:v>Total current assets</x:v>
      </x:c>
      <x:c r="C47" s="28" t="n">
        <x:f>'JB inputs'!C30/'JB inputs'!$C$64</x:f>
        <x:v>1552.6024</x:v>
      </x:c>
      <x:c r="D47" s="28" t="n">
        <x:f>'JB inputs'!D30/'JB inputs'!$C$64</x:f>
        <x:v>1253.1616000000001</x:v>
      </x:c>
      <x:c r="E47" s="28" t="n">
        <x:f>'JB inputs'!E30/'JB inputs'!$C$64</x:f>
        <x:v>1528.033</x:v>
      </x:c>
      <x:c r="F47" s="28" t="n">
        <x:f>'JB inputs'!F30/'JB inputs'!$C$64</x:f>
        <x:v>1853.3453</x:v>
      </x:c>
      <x:c r="G47" s="28" t="n">
        <x:f>'JB inputs'!G30/'JB inputs'!$C$64</x:f>
        <x:v>1922.7419</x:v>
      </x:c>
      <x:c r="H47" s="2"/>
      <x:c r="I47" s="2"/>
      <x:c r="J47" s="2"/>
    </x:row>
    <x:row r="48" ht="22" customHeight="1">
      <x:c r="A48" s="2"/>
      <x:c r="B48" s="38" t="str">
        <x:v>Total assets</x:v>
      </x:c>
      <x:c r="C48" s="39" t="n">
        <x:f>'JB inputs'!C31/'JB inputs'!$C$64</x:f>
        <x:v>2238.1151999999997</x:v>
      </x:c>
      <x:c r="D48" s="39" t="n">
        <x:f>'JB inputs'!D31/'JB inputs'!$C$64</x:f>
        <x:v>2607.4022</x:v>
      </x:c>
      <x:c r="E48" s="39" t="n">
        <x:f>'JB inputs'!E31/'JB inputs'!$C$64</x:f>
        <x:v>3553.8706</x:v>
      </x:c>
      <x:c r="F48" s="39" t="n">
        <x:f>'JB inputs'!F31/'JB inputs'!$C$64</x:f>
        <x:v>3994.1271</x:v>
      </x:c>
      <x:c r="G48" s="39" t="n">
        <x:f>'JB inputs'!G31/'JB inputs'!$C$64</x:f>
        <x:v>4273.7796</x:v>
      </x:c>
      <x:c r="H48" s="2"/>
      <x:c r="I48" s="2"/>
      <x:c r="J48" s="2"/>
    </x:row>
    <x:row r="49" ht="22" customHeight="1">
      <x:c r="A49" s="2"/>
      <x:c r="B49" s="2" t="str">
        <x:v>Total current liabilities</x:v>
      </x:c>
      <x:c r="C49" s="28" t="n">
        <x:f>'JB inputs'!C39/'JB inputs'!$C$64</x:f>
        <x:v>345.2737</x:v>
      </x:c>
      <x:c r="D49" s="28" t="n">
        <x:f>'JB inputs'!D39/'JB inputs'!$C$64</x:f>
        <x:v>383.7156</x:v>
      </x:c>
      <x:c r="E49" s="28" t="n">
        <x:f>'JB inputs'!E39/'JB inputs'!$C$64</x:f>
        <x:v>554.4493</x:v>
      </x:c>
      <x:c r="F49" s="28" t="n">
        <x:f>'JB inputs'!F39/'JB inputs'!$C$64</x:f>
        <x:v>868.2261</x:v>
      </x:c>
      <x:c r="G49" s="28" t="n">
        <x:f>'JB inputs'!G39/'JB inputs'!$C$64</x:f>
        <x:v>632.3391</x:v>
      </x:c>
      <x:c r="H49" s="2"/>
      <x:c r="I49" s="2"/>
      <x:c r="J49" s="2"/>
    </x:row>
    <x:row r="50" ht="22" customHeight="1">
      <x:c r="A50" s="2"/>
      <x:c r="B50" s="2" t="str">
        <x:v>Total non-current liabilities</x:v>
      </x:c>
      <x:c r="C50" s="28" t="n">
        <x:f>'JB inputs'!C38/'JB inputs'!$C$64</x:f>
        <x:v>79.41159999999999</x:v>
      </x:c>
      <x:c r="D50" s="28" t="n">
        <x:f>'JB inputs'!D38/'JB inputs'!$C$64</x:f>
        <x:v>85.0737</x:v>
      </x:c>
      <x:c r="E50" s="28" t="n">
        <x:f>'JB inputs'!E38/'JB inputs'!$C$64</x:f>
        <x:v>519.0691</x:v>
      </x:c>
      <x:c r="F50" s="28" t="n">
        <x:f>'JB inputs'!F38/'JB inputs'!$C$64</x:f>
        <x:v>202.5717</x:v>
      </x:c>
      <x:c r="G50" s="28" t="n">
        <x:f>'JB inputs'!G38/'JB inputs'!$C$64</x:f>
        <x:v>208.1254</x:v>
      </x:c>
      <x:c r="H50" s="2"/>
      <x:c r="I50" s="2"/>
      <x:c r="J50" s="2"/>
    </x:row>
    <x:row r="51" ht="22" customHeight="1">
      <x:c r="A51" s="2"/>
      <x:c r="B51" s="38" t="str">
        <x:v>Total equity, including NCI</x:v>
      </x:c>
      <x:c r="C51" s="39" t="n">
        <x:f>'JB inputs'!C32/'JB inputs'!$C$64</x:f>
        <x:v>1813.4298999999999</x:v>
      </x:c>
      <x:c r="D51" s="39" t="n">
        <x:f>'JB inputs'!D32/'JB inputs'!$C$64</x:f>
        <x:v>2138.6129</x:v>
      </x:c>
      <x:c r="E51" s="39" t="n">
        <x:f>'JB inputs'!E32/'JB inputs'!$C$64</x:f>
        <x:v>2480.3522</x:v>
      </x:c>
      <x:c r="F51" s="39" t="n">
        <x:f>'JB inputs'!F32/'JB inputs'!$C$64</x:f>
        <x:v>2923.3293</x:v>
      </x:c>
      <x:c r="G51" s="39" t="n">
        <x:f>'JB inputs'!G32/'JB inputs'!$C$64</x:f>
        <x:v>3433.3151000000003</x:v>
      </x:c>
      <x:c r="H51" s="2"/>
      <x:c r="I51" s="2"/>
      <x:c r="J51" s="2"/>
    </x:row>
    <x:row r="52" ht="22" customHeight="1">
      <x:c r="A52" s="2"/>
      <x:c r="B52" s="30" t="str">
        <x:v>Current ratio (x)</x:v>
      </x:c>
      <x:c r="C52" s="33" t="n">
        <x:f>C47/C49</x:f>
        <x:v>4.496729406265232</x:v>
      </x:c>
      <x:c r="D52" s="33" t="n">
        <x:f>D47/D49</x:f>
        <x:v>3.265860444558418</x:v>
      </x:c>
      <x:c r="E52" s="33" t="n">
        <x:f>E47/E49</x:f>
        <x:v>2.7559472074362796</x:v>
      </x:c>
      <x:c r="F52" s="33" t="n">
        <x:f>F47/F49</x:f>
        <x:v>2.134634399956417</x:v>
      </x:c>
      <x:c r="G52" s="33" t="n">
        <x:f>G47/G49</x:f>
        <x:v>3.040681653245861</x:v>
      </x:c>
      <x:c r="H52" s="2"/>
      <x:c r="I52" s="2"/>
      <x:c r="J52" s="2"/>
    </x:row>
    <x:row r="53" ht="22" customHeight="1">
      <x:c r="A53" s="2"/>
      <x:c r="B53" s="2"/>
      <x:c r="C53" s="3"/>
      <x:c r="D53" s="3"/>
      <x:c r="E53" s="3"/>
      <x:c r="F53" s="3"/>
      <x:c r="G53" s="3"/>
      <x:c r="H53" s="2"/>
      <x:c r="I53" s="2"/>
      <x:c r="J53" s="2"/>
    </x:row>
    <x:row r="54" ht="25" customHeight="1">
      <x:c r="A54" s="2"/>
      <x:c r="B54" s="17" t="str">
        <x:v>CASH GENERATION</x:v>
      </x:c>
      <x:c r="C54" s="18"/>
      <x:c r="D54" s="18"/>
      <x:c r="E54" s="18"/>
      <x:c r="F54" s="18"/>
      <x:c r="G54" s="18"/>
      <x:c r="H54" s="2"/>
      <x:c r="I54" s="2"/>
      <x:c r="J54" s="2"/>
    </x:row>
    <x:row r="55" ht="22" customHeight="1">
      <x:c r="A55" s="2"/>
      <x:c r="B55" s="38" t="str">
        <x:v>Operating cash flow</x:v>
      </x:c>
      <x:c r="C55" s="39" t="n">
        <x:f>'JB inputs'!C42/'JB inputs'!$C$64</x:f>
        <x:v>314.7849</x:v>
      </x:c>
      <x:c r="D55" s="39" t="n">
        <x:f>'JB inputs'!D42/'JB inputs'!$C$64</x:f>
        <x:v>170.1345</x:v>
      </x:c>
      <x:c r="E55" s="39" t="n">
        <x:f>'JB inputs'!E42/'JB inputs'!$C$64</x:f>
        <x:v>625.6120999999999</x:v>
      </x:c>
      <x:c r="F55" s="39" t="n">
        <x:f>'JB inputs'!F42/'JB inputs'!$C$64</x:f>
        <x:v>800.6116999999999</x:v>
      </x:c>
      <x:c r="G55" s="39" t="n">
        <x:f>'JB inputs'!G42/'JB inputs'!$C$64</x:f>
        <x:v>902.4498</x:v>
      </x:c>
      <x:c r="H55" s="2"/>
      <x:c r="I55" s="2"/>
      <x:c r="J55" s="2"/>
    </x:row>
    <x:row r="56" ht="22" customHeight="1">
      <x:c r="A56" s="2"/>
      <x:c r="B56" s="30" t="str">
        <x:v>Operating cash flow / operating EBITDA</x:v>
      </x:c>
      <x:c r="C56" s="31" t="n">
        <x:f>C55/C14</x:f>
        <x:v>0.5617057473569744</x:v>
      </x:c>
      <x:c r="D56" s="31" t="n">
        <x:f>D55/D14</x:f>
        <x:v>0.3130602453445641</x:v>
      </x:c>
      <x:c r="E56" s="31" t="n">
        <x:f>E55/E14</x:f>
        <x:v>0.8991877140218678</x:v>
      </x:c>
      <x:c r="F56" s="31" t="n">
        <x:f>F55/F14</x:f>
        <x:v>0.8926528695872834</x:v>
      </x:c>
      <x:c r="G56" s="31" t="n">
        <x:f>G55/G14</x:f>
        <x:v>0.8746037291688574</x:v>
      </x:c>
      <x:c r="H56" s="2"/>
      <x:c r="I56" s="2"/>
      <x:c r="J56" s="2"/>
    </x:row>
    <x:row r="57" ht="22" customHeight="1">
      <x:c r="A57" s="2"/>
      <x:c r="B57" s="2" t="str">
        <x:v>PPE / combined capex cash spend</x:v>
      </x:c>
      <x:c r="C57" s="28" t="n">
        <x:f>'JB inputs'!C43/'JB inputs'!$C$64</x:f>
        <x:v>47.773</x:v>
      </x:c>
      <x:c r="D57" s="28" t="n">
        <x:f>'JB inputs'!D43/'JB inputs'!$C$64</x:f>
        <x:v>62.87</x:v>
      </x:c>
      <x:c r="E57" s="28" t="n">
        <x:f>'JB inputs'!E43/'JB inputs'!$C$64</x:f>
        <x:v>72.5686</x:v>
      </x:c>
      <x:c r="F57" s="28" t="n">
        <x:f>'JB inputs'!F43/'JB inputs'!$C$64</x:f>
        <x:v>126.86280000000001</x:v>
      </x:c>
      <x:c r="G57" s="28" t="n">
        <x:f>'JB inputs'!G43/'JB inputs'!$C$64</x:f>
        <x:v>97.58760000000001</x:v>
      </x:c>
      <x:c r="H57" s="2"/>
      <x:c r="I57" s="2"/>
      <x:c r="J57" s="2"/>
    </x:row>
    <x:row r="58" ht="22" customHeight="1">
      <x:c r="A58" s="2"/>
      <x:c r="B58" s="2" t="str">
        <x:v>Separate intangible cash spend</x:v>
      </x:c>
      <x:c r="C58" s="28" t="n">
        <x:f>'JB inputs'!C44/'JB inputs'!$C$64</x:f>
        <x:v>0</x:v>
      </x:c>
      <x:c r="D58" s="28" t="n">
        <x:f>'JB inputs'!D44/'JB inputs'!$C$64</x:f>
        <x:v>643.9191999999999</x:v>
      </x:c>
      <x:c r="E58" s="28" t="n">
        <x:f>'JB inputs'!E44/'JB inputs'!$C$64</x:f>
        <x:v>692.3783999999999</x:v>
      </x:c>
      <x:c r="F58" s="28" t="n">
        <x:f>'JB inputs'!F44/'JB inputs'!$C$64</x:f>
        <x:v>134.5042</x:v>
      </x:c>
      <x:c r="G58" s="28" t="n">
        <x:f>'JB inputs'!G44/'JB inputs'!$C$64</x:f>
        <x:v>22.7185</x:v>
      </x:c>
      <x:c r="H58" s="2"/>
      <x:c r="I58" s="2"/>
      <x:c r="J58" s="2"/>
    </x:row>
    <x:row r="59" ht="22" customHeight="1">
      <x:c r="A59" s="2"/>
      <x:c r="B59" s="38" t="str">
        <x:v>Total capex cash spend</x:v>
      </x:c>
      <x:c r="C59" s="41" t="n">
        <x:f>C57+C58</x:f>
        <x:v>47.773</x:v>
      </x:c>
      <x:c r="D59" s="41" t="n">
        <x:f>D57+D58</x:f>
        <x:v>706.7891999999999</x:v>
      </x:c>
      <x:c r="E59" s="41" t="n">
        <x:f>E57+E58</x:f>
        <x:v>764.9469999999999</x:v>
      </x:c>
      <x:c r="F59" s="41" t="n">
        <x:f>F57+F58</x:f>
        <x:v>261.367</x:v>
      </x:c>
      <x:c r="G59" s="41" t="n">
        <x:f>G57+G58</x:f>
        <x:v>120.30610000000001</x:v>
      </x:c>
      <x:c r="H59" s="2"/>
      <x:c r="I59" s="2"/>
      <x:c r="J59" s="2"/>
    </x:row>
    <x:row r="60" ht="22" customHeight="1">
      <x:c r="A60" s="2"/>
      <x:c r="B60" s="38" t="str">
        <x:v>Cash flow after capex</x:v>
      </x:c>
      <x:c r="C60" s="41" t="n">
        <x:f>C55-C59</x:f>
        <x:v>267.01189999999997</x:v>
      </x:c>
      <x:c r="D60" s="41" t="n">
        <x:f>D55-D59</x:f>
        <x:v>-536.6546999999999</x:v>
      </x:c>
      <x:c r="E60" s="41" t="n">
        <x:f>E55-E59</x:f>
        <x:v>-139.33489999999995</x:v>
      </x:c>
      <x:c r="F60" s="41" t="n">
        <x:f>F55-F59</x:f>
        <x:v>539.2447</x:v>
      </x:c>
      <x:c r="G60" s="41" t="n">
        <x:f>G55-G59</x:f>
        <x:v>782.1437</x:v>
      </x:c>
      <x:c r="H60" s="2"/>
      <x:c r="I60" s="2"/>
      <x:c r="J60" s="2"/>
    </x:row>
    <x:row r="61" ht="22" customHeight="1">
      <x:c r="A61" s="2"/>
      <x:c r="B61" s="2" t="str">
        <x:v>Business acquisition cash payment</x:v>
      </x:c>
      <x:c r="C61" s="28" t="n">
        <x:f>'JB inputs'!C45/'JB inputs'!$C$64</x:f>
        <x:v>8.5</x:v>
      </x:c>
      <x:c r="D61" s="28" t="n">
        <x:f>'JB inputs'!D45/'JB inputs'!$C$64</x:f>
        <x:v>0</x:v>
      </x:c>
      <x:c r="E61" s="28" t="n">
        <x:f>'JB inputs'!E45/'JB inputs'!$C$64</x:f>
        <x:v>0</x:v>
      </x:c>
      <x:c r="F61" s="28" t="n">
        <x:f>'JB inputs'!F45/'JB inputs'!$C$64</x:f>
        <x:v>0</x:v>
      </x:c>
      <x:c r="G61" s="28" t="n">
        <x:f>'JB inputs'!G45/'JB inputs'!$C$64</x:f>
        <x:v>0</x:v>
      </x:c>
      <x:c r="H61" s="2"/>
      <x:c r="I61" s="2"/>
      <x:c r="J61" s="2"/>
    </x:row>
    <x:row r="62" ht="22" customHeight="1">
      <x:c r="A62" s="2"/>
      <x:c r="B62" s="38" t="str">
        <x:v>Cash flow after capex &amp; business purchases</x:v>
      </x:c>
      <x:c r="C62" s="41" t="n">
        <x:f>C60-C61</x:f>
        <x:v>258.51189999999997</x:v>
      </x:c>
      <x:c r="D62" s="41" t="n">
        <x:f>D60-D61</x:f>
        <x:v>-536.6546999999999</x:v>
      </x:c>
      <x:c r="E62" s="41" t="n">
        <x:f>E60-E61</x:f>
        <x:v>-139.33489999999995</x:v>
      </x:c>
      <x:c r="F62" s="41" t="n">
        <x:f>F60-F61</x:f>
        <x:v>539.2447</x:v>
      </x:c>
      <x:c r="G62" s="41" t="n">
        <x:f>G60-G61</x:f>
        <x:v>782.1437</x:v>
      </x:c>
      <x:c r="H62" s="2"/>
      <x:c r="I62" s="2"/>
      <x:c r="J62" s="2"/>
    </x:row>
    <x:row r="63" ht="22" customHeight="1">
      <x:c r="A63" s="2"/>
      <x:c r="B63" s="2" t="str">
        <x:v>Net investing cash flow</x:v>
      </x:c>
      <x:c r="C63" s="28" t="n">
        <x:f>'JB inputs'!C46/'JB inputs'!$C$64</x:f>
        <x:v>-230.6758</x:v>
      </x:c>
      <x:c r="D63" s="28" t="n">
        <x:f>'JB inputs'!D46/'JB inputs'!$C$64</x:f>
        <x:v>2.3199</x:v>
      </x:c>
      <x:c r="E63" s="28" t="n">
        <x:f>'JB inputs'!E46/'JB inputs'!$C$64</x:f>
        <x:v>-961.7883999999999</x:v>
      </x:c>
      <x:c r="F63" s="28" t="n">
        <x:f>'JB inputs'!F46/'JB inputs'!$C$64</x:f>
        <x:v>-403.8304</x:v>
      </x:c>
      <x:c r="G63" s="28" t="n">
        <x:f>'JB inputs'!G46/'JB inputs'!$C$64</x:f>
        <x:v>-295.8963</x:v>
      </x:c>
      <x:c r="H63" s="2"/>
      <x:c r="I63" s="2"/>
      <x:c r="J63" s="2"/>
    </x:row>
    <x:row r="64" ht="22" customHeight="1">
      <x:c r="A64" s="2"/>
      <x:c r="B64" s="2" t="str">
        <x:v>Net financing cash flow</x:v>
      </x:c>
      <x:c r="C64" s="28" t="n">
        <x:f>'JB inputs'!C47/'JB inputs'!$C$64</x:f>
        <x:v>-87.42280000000001</x:v>
      </x:c>
      <x:c r="D64" s="28" t="n">
        <x:f>'JB inputs'!D47/'JB inputs'!$C$64</x:f>
        <x:v>-138.3851</x:v>
      </x:c>
      <x:c r="E64" s="28" t="n">
        <x:f>'JB inputs'!E47/'JB inputs'!$C$64</x:f>
        <x:v>356.538</x:v>
      </x:c>
      <x:c r="F64" s="28" t="n">
        <x:f>'JB inputs'!F47/'JB inputs'!$C$64</x:f>
        <x:v>-385.485</x:v>
      </x:c>
      <x:c r="G64" s="28" t="n">
        <x:f>'JB inputs'!G47/'JB inputs'!$C$64</x:f>
        <x:v>-579.67</x:v>
      </x:c>
      <x:c r="H64" s="2"/>
      <x:c r="I64" s="2"/>
      <x:c r="J64" s="2"/>
    </x:row>
    <x:row r="65" ht="22" customHeight="1">
      <x:c r="A65" s="2"/>
      <x:c r="B65" s="2" t="str">
        <x:v>Exchange effect on cash</x:v>
      </x:c>
      <x:c r="C65" s="28" t="n">
        <x:f>'JB inputs'!C48/'JB inputs'!$C$64</x:f>
        <x:v>0.0355</x:v>
      </x:c>
      <x:c r="D65" s="28" t="n">
        <x:f>'JB inputs'!D48/'JB inputs'!$C$64</x:f>
        <x:v>0.001</x:v>
      </x:c>
      <x:c r="E65" s="28" t="n">
        <x:f>'JB inputs'!E48/'JB inputs'!$C$64</x:f>
        <x:v>0.0286</x:v>
      </x:c>
      <x:c r="F65" s="28" t="n">
        <x:f>'JB inputs'!F48/'JB inputs'!$C$64</x:f>
        <x:v>-0.015600000000000001</x:v>
      </x:c>
      <x:c r="G65" s="28" t="n">
        <x:f>'JB inputs'!G48/'JB inputs'!$C$64</x:f>
        <x:v>-0.0076</x:v>
      </x:c>
      <x:c r="H65" s="2"/>
      <x:c r="I65" s="2"/>
      <x:c r="J65" s="2"/>
    </x:row>
    <x:row r="66" ht="22" customHeight="1">
      <x:c r="A66" s="2"/>
      <x:c r="B66" s="2" t="str">
        <x:v>Opening cash: cash-flow statement</x:v>
      </x:c>
      <x:c r="C66" s="28" t="n">
        <x:f>'JB inputs'!C49/'JB inputs'!$C$64</x:f>
        <x:v>25.7519</x:v>
      </x:c>
      <x:c r="D66" s="28" t="n">
        <x:f>'JB inputs'!D49/'JB inputs'!$C$64</x:f>
        <x:v>22.4738</x:v>
      </x:c>
      <x:c r="E66" s="28" t="n">
        <x:f>'JB inputs'!E49/'JB inputs'!$C$64</x:f>
        <x:v>56.5441</x:v>
      </x:c>
      <x:c r="F66" s="28" t="n">
        <x:f>'JB inputs'!F49/'JB inputs'!$C$64</x:f>
        <x:v>76.9344</x:v>
      </x:c>
      <x:c r="G66" s="28" t="n">
        <x:f>'JB inputs'!G49/'JB inputs'!$C$64</x:f>
        <x:v>88.2151</x:v>
      </x:c>
      <x:c r="H66" s="2"/>
      <x:c r="I66" s="2"/>
      <x:c r="J66" s="2"/>
    </x:row>
    <x:row r="67" ht="22" customHeight="1">
      <x:c r="A67" s="2"/>
      <x:c r="B67" s="2" t="str">
        <x:v>Cash acquired with subsidiary</x:v>
      </x:c>
      <x:c r="C67" s="28" t="n">
        <x:f>'JB inputs'!C50/'JB inputs'!$C$64</x:f>
        <x:v>0</x:v>
      </x:c>
      <x:c r="D67" s="28" t="n">
        <x:f>'JB inputs'!D50/'JB inputs'!$C$64</x:f>
        <x:v>0</x:v>
      </x:c>
      <x:c r="E67" s="28" t="n">
        <x:f>'JB inputs'!E50/'JB inputs'!$C$64</x:f>
        <x:v>0</x:v>
      </x:c>
      <x:c r="F67" s="28" t="n">
        <x:f>'JB inputs'!F50/'JB inputs'!$C$64</x:f>
        <x:v>0</x:v>
      </x:c>
      <x:c r="G67" s="28" t="n">
        <x:f>'JB inputs'!G50/'JB inputs'!$C$64</x:f>
        <x:v>0</x:v>
      </x:c>
      <x:c r="H67" s="2"/>
      <x:c r="I67" s="2"/>
      <x:c r="J67" s="2"/>
    </x:row>
    <x:row r="68" ht="22" customHeight="1">
      <x:c r="A68" s="2"/>
      <x:c r="B68" s="38" t="str">
        <x:v>Calculated closing cash: cash-flow statement</x:v>
      </x:c>
      <x:c r="C68" s="41" t="n">
        <x:f>SUM(C63:C67)+C55</x:f>
        <x:v>22.47369999999995</x:v>
      </x:c>
      <x:c r="D68" s="41" t="n">
        <x:f>SUM(D63:D67)+D55</x:f>
        <x:v>56.5441</x:v>
      </x:c>
      <x:c r="E68" s="41" t="n">
        <x:f>SUM(E63:E67)+E55</x:f>
        <x:v>76.93439999999998</x:v>
      </x:c>
      <x:c r="F68" s="41" t="n">
        <x:f>SUM(F63:F67)+F55</x:f>
        <x:v>88.2151</x:v>
      </x:c>
      <x:c r="G68" s="41" t="n">
        <x:f>SUM(G63:G67)+G55</x:f>
        <x:v>115.09100000000001</x:v>
      </x:c>
      <x:c r="H68" s="2"/>
      <x:c r="I68" s="2"/>
      <x:c r="J68" s="2"/>
    </x:row>
    <x:row r="69" ht="22" customHeight="1">
      <x:c r="A69" s="2"/>
      <x:c r="B69" s="2" t="str">
        <x:v>Add: overdraft netted in cash-flow statement</x:v>
      </x:c>
      <x:c r="C69" s="28" t="n">
        <x:f>'JB inputs'!C52/'JB inputs'!$C$64</x:f>
        <x:v>6.211799999999999</x:v>
      </x:c>
      <x:c r="D69" s="28" t="n">
        <x:f>'JB inputs'!D52/'JB inputs'!$C$64</x:f>
        <x:v>0</x:v>
      </x:c>
      <x:c r="E69" s="28" t="n">
        <x:f>'JB inputs'!E52/'JB inputs'!$C$64</x:f>
        <x:v>0</x:v>
      </x:c>
      <x:c r="F69" s="28" t="n">
        <x:f>'JB inputs'!F52/'JB inputs'!$C$64</x:f>
        <x:v>0</x:v>
      </x:c>
      <x:c r="G69" s="28" t="n">
        <x:f>'JB inputs'!G52/'JB inputs'!$C$64</x:f>
        <x:v>0</x:v>
      </x:c>
      <x:c r="H69" s="2"/>
      <x:c r="I69" s="2"/>
      <x:c r="J69" s="2"/>
    </x:row>
    <x:row r="70" ht="22" customHeight="1">
      <x:c r="A70" s="2"/>
      <x:c r="B70" s="38" t="str">
        <x:v>Calculated balance-sheet cash</x:v>
      </x:c>
      <x:c r="C70" s="41" t="n">
        <x:f>C68+C69</x:f>
        <x:v>28.68549999999995</x:v>
      </x:c>
      <x:c r="D70" s="41" t="n">
        <x:f>D68+D69</x:f>
        <x:v>56.5441</x:v>
      </x:c>
      <x:c r="E70" s="41" t="n">
        <x:f>E68+E69</x:f>
        <x:v>76.93439999999998</x:v>
      </x:c>
      <x:c r="F70" s="41" t="n">
        <x:f>F68+F69</x:f>
        <x:v>88.2151</x:v>
      </x:c>
      <x:c r="G70" s="41" t="n">
        <x:f>G68+G69</x:f>
        <x:v>115.09100000000001</x:v>
      </x:c>
      <x:c r="H70" s="2"/>
      <x:c r="I70" s="2"/>
      <x:c r="J70" s="2"/>
    </x:row>
    <x:row r="71" ht="22" customHeight="1">
      <x:c r="A71" s="2"/>
      <x:c r="B71" s="2"/>
      <x:c r="C71" s="3"/>
      <x:c r="D71" s="3"/>
      <x:c r="E71" s="3"/>
      <x:c r="F71" s="3"/>
      <x:c r="G71" s="3"/>
      <x:c r="H71" s="2"/>
      <x:c r="I71" s="2"/>
      <x:c r="J71" s="2"/>
    </x:row>
    <x:row r="72" ht="25" customHeight="1">
      <x:c r="A72" s="2"/>
      <x:c r="B72" s="17" t="str">
        <x:v>SHARES &amp; EPS — CONSISTENT FY25 BASIS</x:v>
      </x:c>
      <x:c r="C72" s="18"/>
      <x:c r="D72" s="18"/>
      <x:c r="E72" s="18"/>
      <x:c r="F72" s="18"/>
      <x:c r="G72" s="18"/>
      <x:c r="H72" s="2"/>
      <x:c r="I72" s="2"/>
      <x:c r="J72" s="2"/>
    </x:row>
    <x:row r="73" ht="22" customHeight="1">
      <x:c r="A73" s="2"/>
      <x:c r="B73" s="2" t="str">
        <x:v>Weighted-average basic shares (crore)</x:v>
      </x:c>
      <x:c r="C73" s="34" t="n">
        <x:f>'JB inputs'!C55*'JB inputs'!C58/'JB inputs'!$C$66</x:f>
        <x:v>15.4564194</x:v>
      </x:c>
      <x:c r="D73" s="34" t="n">
        <x:f>'JB inputs'!D55*'JB inputs'!D58/'JB inputs'!$C$66</x:f>
        <x:v>15.4564194</x:v>
      </x:c>
      <x:c r="E73" s="34" t="n">
        <x:f>'JB inputs'!E55*'JB inputs'!E58/'JB inputs'!$C$66</x:f>
        <x:v>15.464999</x:v>
      </x:c>
      <x:c r="F73" s="34" t="n">
        <x:f>'JB inputs'!F55*'JB inputs'!F58/'JB inputs'!$C$66</x:f>
        <x:v>15.4951521</x:v>
      </x:c>
      <x:c r="G73" s="34" t="n">
        <x:f>'JB inputs'!G55*'JB inputs'!G58/'JB inputs'!$C$66</x:f>
        <x:v>15.5364761</x:v>
      </x:c>
      <x:c r="H73" s="2"/>
      <x:c r="I73" s="2"/>
      <x:c r="J73" s="2"/>
    </x:row>
    <x:row r="74" ht="22" customHeight="1">
      <x:c r="A74" s="2"/>
      <x:c r="B74" s="2" t="str">
        <x:v>Weighted-average diluted shares (crore)</x:v>
      </x:c>
      <x:c r="C74" s="34" t="n">
        <x:f>'JB inputs'!C56*'JB inputs'!C58/'JB inputs'!$C$66</x:f>
        <x:v>15.4564194</x:v>
      </x:c>
      <x:c r="D74" s="34" t="n">
        <x:f>'JB inputs'!D56*'JB inputs'!D58/'JB inputs'!$C$66</x:f>
        <x:v>15.4710448</x:v>
      </x:c>
      <x:c r="E74" s="34" t="n">
        <x:f>'JB inputs'!E56*'JB inputs'!E58/'JB inputs'!$C$66</x:f>
        <x:v>15.6617596</x:v>
      </x:c>
      <x:c r="F74" s="34" t="n">
        <x:f>'JB inputs'!F56*'JB inputs'!F58/'JB inputs'!$C$66</x:f>
        <x:v>15.8587465</x:v>
      </x:c>
      <x:c r="G74" s="34" t="n">
        <x:f>'JB inputs'!G56*'JB inputs'!G58/'JB inputs'!$C$66</x:f>
        <x:v>15.8691543</x:v>
      </x:c>
      <x:c r="H74" s="2"/>
      <x:c r="I74" s="2"/>
      <x:c r="J74" s="2"/>
    </x:row>
    <x:row r="75" ht="22" customHeight="1">
      <x:c r="A75" s="2"/>
      <x:c r="B75" s="2" t="str">
        <x:v>Closing issued shares (crore)</x:v>
      </x:c>
      <x:c r="C75" s="34" t="n">
        <x:f>'JB inputs'!C57*'JB inputs'!C59/'JB inputs'!$C$66</x:f>
        <x:v>15.4564194</x:v>
      </x:c>
      <x:c r="D75" s="34" t="n">
        <x:f>'JB inputs'!D57*'JB inputs'!D59/'JB inputs'!$C$66</x:f>
        <x:v>15.4564194</x:v>
      </x:c>
      <x:c r="E75" s="34" t="n">
        <x:f>'JB inputs'!E57*'JB inputs'!E59/'JB inputs'!$C$66</x:f>
        <x:v>15.4755168</x:v>
      </x:c>
      <x:c r="F75" s="34" t="n">
        <x:f>'JB inputs'!F57*'JB inputs'!F59/'JB inputs'!$C$66</x:f>
        <x:v>15.51948</x:v>
      </x:c>
      <x:c r="G75" s="34" t="n">
        <x:f>'JB inputs'!G57*'JB inputs'!G59/'JB inputs'!$C$66</x:f>
        <x:v>15.5677208</x:v>
      </x:c>
      <x:c r="H75" s="2"/>
      <x:c r="I75" s="2"/>
      <x:c r="J75" s="2"/>
    </x:row>
    <x:row r="76" ht="22" customHeight="1">
      <x:c r="A76" s="2"/>
      <x:c r="B76" s="38" t="str">
        <x:v>Basic EPS on FY25 share basis (INR)</x:v>
      </x:c>
      <x:c r="C76" s="43" t="n">
        <x:f>C28/C73</x:f>
        <x:v>28.982365734718613</x:v>
      </x:c>
      <x:c r="D76" s="43" t="n">
        <x:f>D28/D73</x:f>
        <x:v>24.931867467312642</x:v>
      </x:c>
      <x:c r="E76" s="43" t="n">
        <x:f>E28/E73</x:f>
        <x:v>26.500842321425303</x:v>
      </x:c>
      <x:c r="F76" s="43" t="n">
        <x:f>F28/F73</x:f>
        <x:v>35.664561175879</x:v>
      </x:c>
      <x:c r="G76" s="43" t="n">
        <x:f>G28/G73</x:f>
        <x:v>42.45375822384845</x:v>
      </x:c>
      <x:c r="H76" s="2"/>
      <x:c r="I76" s="2"/>
      <x:c r="J76" s="2"/>
    </x:row>
    <x:row r="77" ht="22" customHeight="1">
      <x:c r="A77" s="2"/>
      <x:c r="B77" s="38" t="str">
        <x:v>Diluted EPS on FY25 share basis (INR)</x:v>
      </x:c>
      <x:c r="C77" s="43" t="n">
        <x:f>C28/C74</x:f>
        <x:v>28.982365734718613</x:v>
      </x:c>
      <x:c r="D77" s="43" t="n">
        <x:f>D28/D74</x:f>
        <x:v>24.908298371678168</x:v>
      </x:c>
      <x:c r="E77" s="43" t="n">
        <x:f>E28/E74</x:f>
        <x:v>26.167909000467613</x:v>
      </x:c>
      <x:c r="F77" s="43" t="n">
        <x:f>F28/F74</x:f>
        <x:v>34.84687771508297</x:v>
      </x:c>
      <x:c r="G77" s="43" t="n">
        <x:f>G28/G74</x:f>
        <x:v>41.56376499534068</x:v>
      </x:c>
      <x:c r="H77" s="2"/>
      <x:c r="I77" s="2"/>
      <x:c r="J77" s="2"/>
    </x:row>
    <x:row r="78" ht="22" customHeight="1">
      <x:c r="A78" s="2"/>
      <x:c r="B78" s="30" t="str">
        <x:v>Basic EPS growth</x:v>
      </x:c>
      <x:c r="C78" s="31" t="str">
        <x:v>n/a</x:v>
      </x:c>
      <x:c r="D78" s="31" t="n">
        <x:f>D76/C76-1</x:f>
        <x:v>-0.13975733742652308</x:v>
      </x:c>
      <x:c r="E78" s="31" t="n">
        <x:f>E76/D76-1</x:f>
        <x:v>0.06293049873499013</x:v>
      </x:c>
      <x:c r="F78" s="31" t="n">
        <x:f>F76/E76-1</x:f>
        <x:v>0.3457897203156086</x:v>
      </x:c>
      <x:c r="G78" s="31" t="n">
        <x:f>G76/F76-1</x:f>
        <x:v>0.19036255667043478</x:v>
      </x:c>
      <x:c r="H78" s="2"/>
      <x:c r="I78" s="2"/>
      <x:c r="J78" s="2"/>
    </x:row>
    <x:row r="79" ht="22" customHeight="1">
      <x:c r="A79" s="2"/>
      <x:c r="B79" s="2"/>
      <x:c r="C79" s="3"/>
      <x:c r="D79" s="3"/>
      <x:c r="E79" s="3"/>
      <x:c r="F79" s="3"/>
      <x:c r="G79" s="3"/>
      <x:c r="H79" s="2"/>
      <x:c r="I79" s="2"/>
      <x:c r="J79" s="2"/>
    </x:row>
    <x:row r="80" ht="25" customHeight="1">
      <x:c r="A80" s="2"/>
      <x:c r="B80" s="17" t="str">
        <x:v>RECONCILIATION CHECKS</x:v>
      </x:c>
      <x:c r="C80" s="18"/>
      <x:c r="D80" s="18"/>
      <x:c r="E80" s="18"/>
      <x:c r="F80" s="18"/>
      <x:c r="G80" s="18"/>
      <x:c r="H80" s="2"/>
      <x:c r="I80" s="2"/>
      <x:c r="J80" s="2"/>
    </x:row>
    <x:row r="81" ht="22" customHeight="1">
      <x:c r="A81" s="2"/>
      <x:c r="B81" s="2" t="str">
        <x:v>PBT vs reported: difference</x:v>
      </x:c>
      <x:c r="C81" s="34" t="n">
        <x:f>C24-('JB inputs'!C18/'JB inputs'!$C$64)</x:f>
        <x:v>1.1368683772161603e-13</x:v>
      </x:c>
      <x:c r="D81" s="34" t="n">
        <x:f>D24-('JB inputs'!D18/'JB inputs'!$C$64)</x:f>
        <x:v>1.1368683772161603e-13</x:v>
      </x:c>
      <x:c r="E81" s="34" t="n">
        <x:f>E24-('JB inputs'!E18/'JB inputs'!$C$64)</x:f>
        <x:v>3.410605131648481e-13</x:v>
      </x:c>
      <x:c r="F81" s="34" t="n">
        <x:f>F24-('JB inputs'!F18/'JB inputs'!$C$64)</x:f>
        <x:v>4.547473508864641e-13</x:v>
      </x:c>
      <x:c r="G81" s="34" t="n">
        <x:f>G24-('JB inputs'!G18/'JB inputs'!$C$64)</x:f>
        <x:v>-2.2737367544323206e-13</x:v>
      </x:c>
      <x:c r="H81" s="2"/>
      <x:c r="I81" s="2"/>
      <x:c r="J81" s="2"/>
    </x:row>
    <x:row r="82" ht="22" customHeight="1">
      <x:c r="A82" s="2"/>
      <x:c r="B82" s="2" t="str">
        <x:v>PAT vs reported: difference</x:v>
      </x:c>
      <x:c r="C82" s="34" t="n">
        <x:f>C27-('JB inputs'!C19/'JB inputs'!$C$64)</x:f>
        <x:v>1.1368683772161603e-13</x:v>
      </x:c>
      <x:c r="D82" s="34" t="n">
        <x:f>D27-('JB inputs'!D19/'JB inputs'!$C$64)</x:f>
        <x:v>1.1368683772161603e-13</x:v>
      </x:c>
      <x:c r="E82" s="34" t="n">
        <x:f>E27-('JB inputs'!E19/'JB inputs'!$C$64)</x:f>
        <x:v>3.979039320256561e-13</x:v>
      </x:c>
      <x:c r="F82" s="34" t="n">
        <x:f>F27-('JB inputs'!F19/'JB inputs'!$C$64)</x:f>
        <x:v>4.547473508864641e-13</x:v>
      </x:c>
      <x:c r="G82" s="34" t="n">
        <x:f>G27-('JB inputs'!G19/'JB inputs'!$C$64)</x:f>
        <x:v>-1.1368683772161603e-13</x:v>
      </x:c>
      <x:c r="H82" s="2"/>
      <x:c r="I82" s="2"/>
      <x:c r="J82" s="2"/>
    </x:row>
    <x:row r="83" ht="22" customHeight="1">
      <x:c r="A83" s="2"/>
      <x:c r="B83" s="2" t="str">
        <x:v>Assets less liabilities and equity</x:v>
      </x:c>
      <x:c r="C83" s="35" t="n">
        <x:f>C48-C49-C50-C51</x:f>
        <x:v>0</x:v>
      </x:c>
      <x:c r="D83" s="35" t="n">
        <x:f>D48-D49-D50-D51</x:f>
        <x:v>0</x:v>
      </x:c>
      <x:c r="E83" s="35" t="n">
        <x:f>E48-E49-E50-E51</x:f>
        <x:v>0</x:v>
      </x:c>
      <x:c r="F83" s="35" t="n">
        <x:f>F48-F49-F50-F51</x:f>
        <x:v>4.547473508864641e-13</x:v>
      </x:c>
      <x:c r="G83" s="35" t="n">
        <x:f>G48-G49-G50-G51</x:f>
        <x:v>-4.547473508864641e-13</x:v>
      </x:c>
      <x:c r="H83" s="2"/>
      <x:c r="I83" s="2"/>
      <x:c r="J83" s="2"/>
    </x:row>
    <x:row r="84" ht="22" customHeight="1">
      <x:c r="A84" s="2"/>
      <x:c r="B84" s="2" t="str">
        <x:v>Cash-flow bridge vs reported cash</x:v>
      </x:c>
      <x:c r="C84" s="34" t="n">
        <x:f>C68-('JB inputs'!C51/'JB inputs'!$C$64)</x:f>
        <x:v>-4.618527782440651e-14</x:v>
      </x:c>
      <x:c r="D84" s="34" t="n">
        <x:f>D68-('JB inputs'!D51/'JB inputs'!$C$64)</x:f>
        <x:v>0</x:v>
      </x:c>
      <x:c r="E84" s="34" t="n">
        <x:f>E68-('JB inputs'!E51/'JB inputs'!$C$64)</x:f>
        <x:v>-1.4210854715202004e-14</x:v>
      </x:c>
      <x:c r="F84" s="34" t="n">
        <x:f>F68-('JB inputs'!F51/'JB inputs'!$C$64)</x:f>
        <x:v>0</x:v>
      </x:c>
      <x:c r="G84" s="34" t="n">
        <x:f>G68-('JB inputs'!G51/'JB inputs'!$C$64)</x:f>
        <x:v>0</x:v>
      </x:c>
      <x:c r="H84" s="2"/>
      <x:c r="I84" s="2"/>
      <x:c r="J84" s="2"/>
    </x:row>
    <x:row r="85" ht="22" customHeight="1">
      <x:c r="A85" s="2"/>
      <x:c r="B85" s="2" t="str">
        <x:v>Cash bridge vs balance-sheet cash</x:v>
      </x:c>
      <x:c r="C85" s="35" t="n">
        <x:f>C70-C41</x:f>
        <x:v>-4.973799150320701e-14</x:v>
      </x:c>
      <x:c r="D85" s="35" t="n">
        <x:f>D70-D41</x:f>
        <x:v>0</x:v>
      </x:c>
      <x:c r="E85" s="35" t="n">
        <x:f>E70-E41</x:f>
        <x:v>-1.4210854715202004e-14</x:v>
      </x:c>
      <x:c r="F85" s="35" t="n">
        <x:f>F70-F41</x:f>
        <x:v>0</x:v>
      </x:c>
      <x:c r="G85" s="35" t="n">
        <x:f>G70-G41</x:f>
        <x:v>0</x:v>
      </x:c>
      <x:c r="H85" s="2"/>
      <x:c r="I85" s="2"/>
      <x:c r="J85" s="2"/>
    </x:row>
    <x:row r="86" ht="22" customHeight="1">
      <x:c r="A86" s="2"/>
      <x:c r="B86" s="2" t="str">
        <x:v>Basic EPS vs adjusted reported EPS</x:v>
      </x:c>
      <x:c r="C86" s="34" t="n">
        <x:f>C76-'JB inputs'!C60/'JB inputs'!C58</x:f>
        <x:v>0.0023657347186123445</x:v>
      </x:c>
      <x:c r="D86" s="34" t="n">
        <x:f>D76-'JB inputs'!D60/'JB inputs'!D58</x:f>
        <x:v>0.0018674673126426455</x:v>
      </x:c>
      <x:c r="E86" s="34" t="n">
        <x:f>E76-'JB inputs'!E60/'JB inputs'!E58</x:f>
        <x:v>0.0008423214253028277</x:v>
      </x:c>
      <x:c r="F86" s="34" t="n">
        <x:f>F76-'JB inputs'!F60/'JB inputs'!F58</x:f>
        <x:v>0.004561175879004509</x:v>
      </x:c>
      <x:c r="G86" s="34" t="n">
        <x:f>G76-'JB inputs'!G60/'JB inputs'!G58</x:f>
        <x:v>0.0037582238484503705</x:v>
      </x:c>
      <x:c r="H86" s="2"/>
      <x:c r="I86" s="2"/>
      <x:c r="J86" s="2"/>
    </x:row>
    <x:row r="87" ht="22" customHeight="1">
      <x:c r="A87" s="2"/>
      <x:c r="B87" s="2" t="str">
        <x:v>Diluted EPS vs adjusted reported EPS</x:v>
      </x:c>
      <x:c r="C87" s="34" t="n">
        <x:f>C77-'JB inputs'!C61/'JB inputs'!C58</x:f>
        <x:v>0.0023657347186123445</x:v>
      </x:c>
      <x:c r="D87" s="34" t="n">
        <x:f>D77-'JB inputs'!D61/'JB inputs'!D58</x:f>
        <x:v>-0.0017016283218325157</x:v>
      </x:c>
      <x:c r="E87" s="34" t="n">
        <x:f>E77-'JB inputs'!E61/'JB inputs'!E58</x:f>
        <x:v>-0.002090999532388338</x:v>
      </x:c>
      <x:c r="F87" s="34" t="n">
        <x:f>F77-'JB inputs'!F61/'JB inputs'!F58</x:f>
        <x:v>-0.003122284917033369</x:v>
      </x:c>
      <x:c r="G87" s="34" t="n">
        <x:f>G77-'JB inputs'!G61/'JB inputs'!G58</x:f>
        <x:v>0.0037649953406742043</x:v>
      </x:c>
      <x:c r="H87" s="2"/>
      <x:c r="I87" s="2"/>
      <x:c r="J87" s="2"/>
    </x:row>
    <x:row r="88" ht="22" customHeight="1">
      <x:c r="A88" s="2"/>
      <x:c r="B88" s="2" t="str">
        <x:v>Reconciliation status</x:v>
      </x:c>
      <x:c r="C88" s="3" t="str">
        <x:f>IF(AND(ABS(C81)&lt;0.02,ABS(C82)&lt;0.02,ABS(C83)&lt;0.02,ABS(C84)&lt;0.02,ABS(C85)&lt;0.02,ABS(C86)&lt;0.01,ABS(C87)&lt;0.01),"PASS","REVIEW")</x:f>
        <x:v>PASS</x:v>
      </x:c>
      <x:c r="D88" s="3" t="str">
        <x:f>IF(AND(ABS(D81)&lt;0.02,ABS(D82)&lt;0.02,ABS(D83)&lt;0.02,ABS(D84)&lt;0.02,ABS(D85)&lt;0.02,ABS(D86)&lt;0.01,ABS(D87)&lt;0.01),"PASS","REVIEW")</x:f>
        <x:v>PASS</x:v>
      </x:c>
      <x:c r="E88" s="3" t="str">
        <x:f>IF(AND(ABS(E81)&lt;0.02,ABS(E82)&lt;0.02,ABS(E83)&lt;0.02,ABS(E84)&lt;0.02,ABS(E85)&lt;0.02,ABS(E86)&lt;0.01,ABS(E87)&lt;0.01),"PASS","REVIEW")</x:f>
        <x:v>PASS</x:v>
      </x:c>
      <x:c r="F88" s="3" t="str">
        <x:f>IF(AND(ABS(F81)&lt;0.02,ABS(F82)&lt;0.02,ABS(F83)&lt;0.02,ABS(F84)&lt;0.02,ABS(F85)&lt;0.02,ABS(F86)&lt;0.01,ABS(F87)&lt;0.01),"PASS","REVIEW")</x:f>
        <x:v>PASS</x:v>
      </x:c>
      <x:c r="G88" s="3" t="str">
        <x:f>IF(AND(ABS(G81)&lt;0.02,ABS(G82)&lt;0.02,ABS(G83)&lt;0.02,ABS(G84)&lt;0.02,ABS(G85)&lt;0.02,ABS(G86)&lt;0.01,ABS(G87)&lt;0.01),"PASS","REVIEW")</x:f>
        <x:v>PASS</x:v>
      </x:c>
      <x:c r="H88" s="2"/>
      <x:c r="I88" s="2"/>
      <x:c r="J88" s="2"/>
    </x:row>
    <x:row r="89" ht="22" customHeight="1">
      <x:c r="A89" s="2"/>
      <x:c r="B89" s="2"/>
      <x:c r="C89" s="3"/>
      <x:c r="D89" s="3"/>
      <x:c r="E89" s="3"/>
      <x:c r="F89" s="3"/>
      <x:c r="G89" s="3"/>
      <x:c r="H89" s="2"/>
      <x:c r="I89" s="2"/>
      <x:c r="J89" s="2"/>
    </x:row>
    <x:row r="90" ht="45" customHeight="1">
      <x:c r="A90" s="2"/>
      <x:c r="B90" s="8" t="str">
        <x:v>Operating EBITDA retains ESOP expense and excludes other income, finance costs, D&amp;A and exceptional items. The separate before-ESOP measure is an adjustment, not a substitute for statutory earnings.</x:v>
      </x:c>
      <x:c r="C90" s="9"/>
      <x:c r="D90" s="9"/>
      <x:c r="E90" s="9"/>
      <x:c r="F90" s="9"/>
      <x:c r="G90" s="9"/>
      <x:c r="H90" s="2"/>
      <x:c r="I90" s="2"/>
      <x:c r="J90" s="2"/>
    </x:row>
    <x:row r="91" ht="45" customHeight="1">
      <x:c r="A91" s="2"/>
      <x:c r="B91" s="8" t="str">
        <x:v>COGS is a material-cost proxy: materials + purchases + inventory change; it excludes labour and other production overheads. Gross margin and closing-balance working-capital days use this definition.</x:v>
      </x:c>
      <x:c r="C91" s="9"/>
      <x:c r="D91" s="9"/>
      <x:c r="E91" s="9"/>
      <x:c r="F91" s="9"/>
      <x:c r="G91" s="9"/>
      <x:c r="H91" s="2"/>
      <x:c r="I91" s="2"/>
      <x:c r="J91" s="2"/>
    </x:row>
    <x:row r="92" ht="45" customHeight="1">
      <x:c r="A92" s="2"/>
      <x:c r="B92" s="8" t="str">
        <x:v>Net debt = borrowings − cash − selected current investments; leases, other bank balances and non-current deposits are excluded. Cash flow after capex is after cash taxes; it is not unlevered DCF free cash flow.</x:v>
      </x:c>
      <x:c r="C92" s="9"/>
      <x:c r="D92" s="9"/>
      <x:c r="E92" s="9"/>
      <x:c r="F92" s="9"/>
      <x:c r="G92" s="9"/>
      <x:c r="H92" s="2"/>
      <x:c r="I92" s="2"/>
      <x:c r="J92" s="2"/>
    </x:row>
    <x:row r="93" ht="45" customHeight="1">
      <x:c r="A93" s="2"/>
      <x:c r="B93" s="8" t="str">
        <x:v>FY22–FY23 cash outflows include acquired brands in intangible capex. FY25 net cash on this narrow definition differs from management’s broader net-cash presentation; see Walkthrough.</x:v>
      </x:c>
      <x:c r="C93" s="9"/>
      <x:c r="D93" s="9"/>
      <x:c r="E93" s="9"/>
      <x:c r="F93" s="9"/>
      <x:c r="G93" s="9"/>
      <x:c r="H93" s="2"/>
      <x:c r="I93" s="2"/>
      <x:c r="J93" s="2"/>
    </x:row>
    <x:row r="94" ht="42" customHeight="1">
      <x:c r="A94" s="2"/>
      <x:c r="B94" s="8" t="str">
        <x:v>EPS uses owners’ PAT and weighted-average shares restated for the Torrent bonus / JB split. Blank prior-year growth is shown as n/a. Checks allow INR 0.02 crore rounding and INR 0.01 per share.</x:v>
      </x:c>
      <x:c r="C94" s="9"/>
      <x:c r="D94" s="9"/>
      <x:c r="E94" s="9"/>
      <x:c r="F94" s="9"/>
      <x:c r="G94" s="9"/>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sheetData>
  <x:mergeCells>
    <x:mergeCell ref="B2:G2"/>
    <x:mergeCell ref="B3:G3"/>
    <x:mergeCell ref="B6:G6"/>
    <x:mergeCell ref="B31:G31"/>
    <x:mergeCell ref="B54:G54"/>
    <x:mergeCell ref="B72:G72"/>
    <x:mergeCell ref="B80:G80"/>
    <x:mergeCell ref="B90:G90"/>
    <x:mergeCell ref="B91:G91"/>
    <x:mergeCell ref="B92:G92"/>
    <x:mergeCell ref="B93:G93"/>
    <x:mergeCell ref="B94:G94"/>
  </x:mergeCells>
  <x:conditionalFormatting sqref="C88:G88">
    <x:cfRule type="containsText" dxfId="1" priority="1" operator="containsText" text="REVIEW"/>
  </x:conditionalFormatting>
  <x:pageMargins left="0.7" right="0.7" top="0.75" bottom="0.75" header="0.3" footer="0.3"/>
</x:worksheet>
</file>

<file path=xl/worksheets/sheet4.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x:row>
    <x:row r="2" ht="38" customHeight="1">
      <x:c r="A2" s="2"/>
      <x:c r="B2" s="4" t="str">
        <x:v>Torrent | source inputs</x:v>
      </x:c>
      <x:c r="C2" s="5"/>
      <x:c r="D2" s="5"/>
      <x:c r="E2" s="5"/>
      <x:c r="F2" s="5"/>
      <x:c r="G2" s="5"/>
      <x:c r="H2" s="2"/>
      <x:c r="I2" s="2"/>
      <x:c r="J2" s="2"/>
    </x:row>
    <x:row r="3" ht="30" customHeight="1">
      <x:c r="A3" s="2"/>
      <x:c r="B3" s="8" t="str">
        <x:v>Consolidated • money in INR crore; shares and EPS as labelled • Blue cells are source inputs.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INCOME STATEMENT</x:v>
      </x:c>
      <x:c r="C6" s="18"/>
      <x:c r="D6" s="18"/>
      <x:c r="E6" s="18"/>
      <x:c r="F6" s="18"/>
      <x:c r="G6" s="18"/>
      <x:c r="H6" s="2"/>
      <x:c r="I6" s="2"/>
      <x:c r="J6" s="2"/>
    </x:row>
    <x:row r="7" ht="22" customHeight="1">
      <x:c r="A7" s="2"/>
      <x:c r="B7" s="26" t="str">
        <x:v>Revenue from operations</x:v>
      </x:c>
      <x:c r="C7" s="19" t="n">
        <x:v>8004.83</x:v>
      </x:c>
      <x:c r="D7" s="19" t="n">
        <x:v>8508.04</x:v>
      </x:c>
      <x:c r="E7" s="19" t="n">
        <x:v>9620.15</x:v>
      </x:c>
      <x:c r="F7" s="19" t="n">
        <x:v>10727.84</x:v>
      </x:c>
      <x:c r="G7" s="19" t="n">
        <x:v>11516.09</x:v>
      </x:c>
      <x:c r="H7" s="2"/>
      <x:c r="I7" s="2"/>
      <x:c r="J7" s="20" t="str">
        <x:v>T21: FY21 | T23: FY22–23 | T25: FY24–25 · P&amp;L</x:v>
      </x:c>
    </x:row>
    <x:row r="8" ht="22" customHeight="1">
      <x:c r="A8" s="2"/>
      <x:c r="B8" s="26" t="str">
        <x:v>Materials consumed</x:v>
      </x:c>
      <x:c r="C8" s="19" t="n">
        <x:v>1420.69</x:v>
      </x:c>
      <x:c r="D8" s="19" t="n">
        <x:v>1537.5</x:v>
      </x:c>
      <x:c r="E8" s="19" t="n">
        <x:v>1480.42</x:v>
      </x:c>
      <x:c r="F8" s="19" t="n">
        <x:v>1657.59</x:v>
      </x:c>
      <x:c r="G8" s="19" t="n">
        <x:v>1520.32</x:v>
      </x:c>
      <x:c r="H8" s="2"/>
      <x:c r="I8" s="2"/>
      <x:c r="J8" s="20" t="str">
        <x:v>T21: FY21 | T23: FY22–23 | T25: FY24–25 · P&amp;L</x:v>
      </x:c>
    </x:row>
    <x:row r="9" ht="22" customHeight="1">
      <x:c r="A9" s="2"/>
      <x:c r="B9" s="26" t="str">
        <x:v>Stock-in-trade purchases</x:v>
      </x:c>
      <x:c r="C9" s="19" t="n">
        <x:v>1004.97</x:v>
      </x:c>
      <x:c r="D9" s="19" t="n">
        <x:v>830.65</x:v>
      </x:c>
      <x:c r="E9" s="19" t="n">
        <x:v>1088.58</x:v>
      </x:c>
      <x:c r="F9" s="19" t="n">
        <x:v>1183.63</x:v>
      </x:c>
      <x:c r="G9" s="19" t="n">
        <x:v>1530.5</x:v>
      </x:c>
      <x:c r="H9" s="2"/>
      <x:c r="I9" s="2"/>
      <x:c r="J9" s="20" t="str">
        <x:v>T21: FY21 | T23: FY22–23 | T25: FY24–25 · P&amp;L</x:v>
      </x:c>
    </x:row>
    <x:row r="10" ht="22" customHeight="1">
      <x:c r="A10" s="2"/>
      <x:c r="B10" s="26" t="str">
        <x:v>Inventory change: expense / (credit)</x:v>
      </x:c>
      <x:c r="C10" s="19" t="n">
        <x:v>-279.24</x:v>
      </x:c>
      <x:c r="D10" s="19" t="n">
        <x:v>73.86</x:v>
      </x:c>
      <x:c r="E10" s="19" t="n">
        <x:v>166.19</x:v>
      </x:c>
      <x:c r="F10" s="19" t="n">
        <x:v>-155.01</x:v>
      </x:c>
      <x:c r="G10" s="19" t="n">
        <x:v>-274.92</x:v>
      </x:c>
      <x:c r="H10" s="2"/>
      <x:c r="I10" s="2"/>
      <x:c r="J10" s="20" t="str">
        <x:v>T21: FY21 | T23: FY22–23 | T25: FY24–25 · P&amp;L</x:v>
      </x:c>
    </x:row>
    <x:row r="11" ht="22" customHeight="1">
      <x:c r="A11" s="2"/>
      <x:c r="B11" s="26" t="str">
        <x:v>Employee expense</x:v>
      </x:c>
      <x:c r="C11" s="19" t="n">
        <x:v>1439.62</x:v>
      </x:c>
      <x:c r="D11" s="19" t="n">
        <x:v>1526.45</x:v>
      </x:c>
      <x:c r="E11" s="19" t="n">
        <x:v>1677.69</x:v>
      </x:c>
      <x:c r="F11" s="19" t="n">
        <x:v>1984.4</x:v>
      </x:c>
      <x:c r="G11" s="19" t="n">
        <x:v>2203.37</x:v>
      </x:c>
      <x:c r="H11" s="2"/>
      <x:c r="I11" s="2"/>
      <x:c r="J11" s="20" t="str">
        <x:v>T21: FY21 | T23: FY22–23 | T25: FY24–25 · P&amp;L</x:v>
      </x:c>
    </x:row>
    <x:row r="12" ht="22" customHeight="1">
      <x:c r="A12" s="2"/>
      <x:c r="B12" s="26" t="str">
        <x:v>Other operating expenses</x:v>
      </x:c>
      <x:c r="C12" s="19" t="n">
        <x:v>1933.11</x:v>
      </x:c>
      <x:c r="D12" s="19" t="n">
        <x:v>2108.31</x:v>
      </x:c>
      <x:c r="E12" s="19" t="n">
        <x:v>2365.22</x:v>
      </x:c>
      <x:c r="F12" s="19" t="n">
        <x:v>2689.58</x:v>
      </x:c>
      <x:c r="G12" s="19" t="n">
        <x:v>2815.83</x:v>
      </x:c>
      <x:c r="H12" s="2"/>
      <x:c r="I12" s="2"/>
      <x:c r="J12" s="20" t="str">
        <x:v>T21: FY21 | T23: FY22–23 | T25: FY24–25 · P&amp;L</x:v>
      </x:c>
    </x:row>
    <x:row r="13" ht="22" customHeight="1">
      <x:c r="A13" s="2"/>
      <x:c r="B13" s="26" t="str">
        <x:v>Depreciation, amortisation &amp; impairment</x:v>
      </x:c>
      <x:c r="C13" s="19" t="n">
        <x:v>657.79</x:v>
      </x:c>
      <x:c r="D13" s="19" t="n">
        <x:v>662.16</x:v>
      </x:c>
      <x:c r="E13" s="19" t="n">
        <x:v>706.59</x:v>
      </x:c>
      <x:c r="F13" s="19" t="n">
        <x:v>808.27</x:v>
      </x:c>
      <x:c r="G13" s="19" t="n">
        <x:v>794.93</x:v>
      </x:c>
      <x:c r="H13" s="2"/>
      <x:c r="I13" s="2"/>
      <x:c r="J13" s="20" t="str">
        <x:v>T21: FY21 | T23: FY22–23 | T25: FY24–25 · P&amp;L</x:v>
      </x:c>
    </x:row>
    <x:row r="14" ht="22" customHeight="1">
      <x:c r="A14" s="2"/>
      <x:c r="B14" s="26" t="str">
        <x:v>Finance costs</x:v>
      </x:c>
      <x:c r="C14" s="19" t="n">
        <x:v>358.28</x:v>
      </x:c>
      <x:c r="D14" s="19" t="n">
        <x:v>255.06</x:v>
      </x:c>
      <x:c r="E14" s="19" t="n">
        <x:v>333.44</x:v>
      </x:c>
      <x:c r="F14" s="19" t="n">
        <x:v>353.56</x:v>
      </x:c>
      <x:c r="G14" s="19" t="n">
        <x:v>252.31</x:v>
      </x:c>
      <x:c r="H14" s="2"/>
      <x:c r="I14" s="2"/>
      <x:c r="J14" s="20" t="str">
        <x:v>T21: FY21 | T23: FY22–23 | T25: FY24–25 · P&amp;L</x:v>
      </x:c>
    </x:row>
    <x:row r="15" ht="22" customHeight="1">
      <x:c r="A15" s="2"/>
      <x:c r="B15" s="26" t="str">
        <x:v>Other income</x:v>
      </x:c>
      <x:c r="C15" s="19" t="n">
        <x:v>56.65</x:v>
      </x:c>
      <x:c r="D15" s="19" t="n">
        <x:v>196.56</x:v>
      </x:c>
      <x:c r="E15" s="19" t="n">
        <x:v>45.14</x:v>
      </x:c>
      <x:c r="F15" s="19" t="n">
        <x:v>57.91</x:v>
      </x:c>
      <x:c r="G15" s="19" t="n">
        <x:v>23.27</x:v>
      </x:c>
      <x:c r="H15" s="2"/>
      <x:c r="I15" s="2"/>
      <x:c r="J15" s="20" t="str">
        <x:v>T21: FY21 | T23: FY22–23 | T25: FY24–25 · P&amp;L</x:v>
      </x:c>
    </x:row>
    <x:row r="16" ht="22" customHeight="1">
      <x:c r="A16" s="2"/>
      <x:c r="B16" s="26" t="str">
        <x:v>Exceptional expense / (gain)</x:v>
      </x:c>
      <x:c r="C16" s="19" t="n">
        <x:v>0</x:v>
      </x:c>
      <x:c r="D16" s="19" t="n">
        <x:v>484.7</x:v>
      </x:c>
      <x:c r="E16" s="19" t="n">
        <x:v>0</x:v>
      </x:c>
      <x:c r="F16" s="19" t="n">
        <x:v>-88.38</x:v>
      </x:c>
      <x:c r="G16" s="19" t="n">
        <x:v>24.21</x:v>
      </x:c>
      <x:c r="H16" s="2"/>
      <x:c r="I16" s="2"/>
      <x:c r="J16" s="20" t="str">
        <x:v>T21: FY21 | T23: FY22–23 | T25: FY24–25 · P&amp;L</x:v>
      </x:c>
    </x:row>
    <x:row r="17" ht="22" customHeight="1">
      <x:c r="A17" s="2"/>
      <x:c r="B17" s="26" t="str">
        <x:v>Total tax expense</x:v>
      </x:c>
      <x:c r="C17" s="19" t="n">
        <x:v>274.38</x:v>
      </x:c>
      <x:c r="D17" s="19" t="n">
        <x:v>448.73</x:v>
      </x:c>
      <x:c r="E17" s="19" t="n">
        <x:v>601.93</x:v>
      </x:c>
      <x:c r="F17" s="19" t="n">
        <x:v>695.73</x:v>
      </x:c>
      <x:c r="G17" s="19" t="n">
        <x:v>761.56</x:v>
      </x:c>
      <x:c r="H17" s="2"/>
      <x:c r="I17" s="2"/>
      <x:c r="J17" s="20" t="str">
        <x:v>T21: FY21 | T23: FY22–23 | T25: FY24–25 · P&amp;L</x:v>
      </x:c>
    </x:row>
    <x:row r="18" ht="22" customHeight="1">
      <x:c r="A18" s="2"/>
      <x:c r="B18" s="26" t="str">
        <x:v>Reported profit before tax</x:v>
      </x:c>
      <x:c r="C18" s="19" t="n">
        <x:v>1526.26</x:v>
      </x:c>
      <x:c r="D18" s="19" t="n">
        <x:v>1225.91</x:v>
      </x:c>
      <x:c r="E18" s="19" t="n">
        <x:v>1847.16</x:v>
      </x:c>
      <x:c r="F18" s="19" t="n">
        <x:v>2352.11</x:v>
      </x:c>
      <x:c r="G18" s="19" t="n">
        <x:v>2672.81</x:v>
      </x:c>
      <x:c r="H18" s="2"/>
      <x:c r="I18" s="2"/>
      <x:c r="J18" s="20" t="str">
        <x:v>T21: FY21 | T23: FY22–23 | T25: FY24–25 · P&amp;L</x:v>
      </x:c>
    </x:row>
    <x:row r="19" ht="22" customHeight="1">
      <x:c r="A19" s="2"/>
      <x:c r="B19" s="26" t="str">
        <x:v>Reported total profit after tax</x:v>
      </x:c>
      <x:c r="C19" s="19" t="n">
        <x:v>1251.88</x:v>
      </x:c>
      <x:c r="D19" s="19" t="n">
        <x:v>777.18</x:v>
      </x:c>
      <x:c r="E19" s="19" t="n">
        <x:v>1245.23</x:v>
      </x:c>
      <x:c r="F19" s="19" t="n">
        <x:v>1656.38</x:v>
      </x:c>
      <x:c r="G19" s="19" t="n">
        <x:v>1911.25</x:v>
      </x:c>
      <x:c r="H19" s="2"/>
      <x:c r="I19" s="2"/>
      <x:c r="J19" s="20" t="str">
        <x:v>T21: FY21 | T23: FY22–23 | T25: FY24–25 · P&amp;L</x:v>
      </x:c>
    </x:row>
    <x:row r="20" ht="22" customHeight="1">
      <x:c r="A20" s="2"/>
      <x:c r="B20" s="26" t="str">
        <x:v>PAT attributable to owners</x:v>
      </x:c>
      <x:c r="C20" s="19" t="n">
        <x:v>1251.88</x:v>
      </x:c>
      <x:c r="D20" s="19" t="n">
        <x:v>777.18</x:v>
      </x:c>
      <x:c r="E20" s="19" t="n">
        <x:v>1245.23</x:v>
      </x:c>
      <x:c r="F20" s="19" t="n">
        <x:v>1656.38</x:v>
      </x:c>
      <x:c r="G20" s="19" t="n">
        <x:v>1911.25</x:v>
      </x:c>
      <x:c r="H20" s="2"/>
      <x:c r="I20" s="2"/>
      <x:c r="J20" s="20" t="str">
        <x:v>T21: FY21 | T23: FY22–23 | T25: FY24–25 · P&amp;L</x:v>
      </x:c>
    </x:row>
    <x:row r="21" ht="22" customHeight="1">
      <x:c r="A21" s="2"/>
      <x:c r="B21" s="26" t="str">
        <x:v>ESOP expense added back in adjustment</x:v>
      </x:c>
      <x:c r="C21" s="19" t="n">
        <x:v>0</x:v>
      </x:c>
      <x:c r="D21" s="19" t="n">
        <x:v>0</x:v>
      </x:c>
      <x:c r="E21" s="19" t="n">
        <x:v>0</x:v>
      </x:c>
      <x:c r="F21" s="19" t="n">
        <x:v>0</x:v>
      </x:c>
      <x:c r="G21" s="19" t="n">
        <x:v>0</x:v>
      </x:c>
      <x:c r="H21" s="2"/>
      <x:c r="I21" s="2"/>
      <x:c r="J21" s="20" t="str">
        <x:v>T21: FY21 | T23: FY22–23 | T25: FY24–25 · CF / ESOP adjustment</x:v>
      </x:c>
    </x:row>
    <x:row r="22" ht="22" customHeight="1">
      <x:c r="A22" s="2"/>
      <x:c r="B22" s="26"/>
      <x:c r="C22" s="14"/>
      <x:c r="D22" s="14"/>
      <x:c r="E22" s="14"/>
      <x:c r="F22" s="14"/>
      <x:c r="G22" s="14"/>
      <x:c r="H22" s="2"/>
      <x:c r="I22" s="2"/>
      <x:c r="J22" s="2"/>
    </x:row>
    <x:row r="23" ht="25" customHeight="1">
      <x:c r="A23" s="2"/>
      <x:c r="B23" s="27" t="str">
        <x:v>BALANCE SHEET</x:v>
      </x:c>
      <x:c r="C23" s="22"/>
      <x:c r="D23" s="22"/>
      <x:c r="E23" s="22"/>
      <x:c r="F23" s="22"/>
      <x:c r="G23" s="22"/>
      <x:c r="H23" s="2"/>
      <x:c r="I23" s="2"/>
      <x:c r="J23" s="2"/>
    </x:row>
    <x:row r="24" ht="22" customHeight="1">
      <x:c r="A24" s="2"/>
      <x:c r="B24" s="26" t="str">
        <x:v>Inventories</x:v>
      </x:c>
      <x:c r="C24" s="19" t="n">
        <x:v>2681.2</x:v>
      </x:c>
      <x:c r="D24" s="19" t="n">
        <x:v>2462.32</x:v>
      </x:c>
      <x:c r="E24" s="19" t="n">
        <x:v>2229.64</x:v>
      </x:c>
      <x:c r="F24" s="19" t="n">
        <x:v>2279.07</x:v>
      </x:c>
      <x:c r="G24" s="19" t="n">
        <x:v>2541.25</x:v>
      </x:c>
      <x:c r="H24" s="2"/>
      <x:c r="I24" s="2"/>
      <x:c r="J24" s="20" t="str">
        <x:v>T21: FY21 | T23: FY22–23 | T25: FY24–25 · BS</x:v>
      </x:c>
    </x:row>
    <x:row r="25" ht="22" customHeight="1">
      <x:c r="A25" s="2"/>
      <x:c r="B25" s="26" t="str">
        <x:v>Trade receivables</x:v>
      </x:c>
      <x:c r="C25" s="19" t="n">
        <x:v>1523.37</x:v>
      </x:c>
      <x:c r="D25" s="19" t="n">
        <x:v>1632.48</x:v>
      </x:c>
      <x:c r="E25" s="19" t="n">
        <x:v>1943.82</x:v>
      </x:c>
      <x:c r="F25" s="19" t="n">
        <x:v>1844.3</x:v>
      </x:c>
      <x:c r="G25" s="19" t="n">
        <x:v>1866.45</x:v>
      </x:c>
      <x:c r="H25" s="2"/>
      <x:c r="I25" s="2"/>
      <x:c r="J25" s="20" t="str">
        <x:v>T21: FY21 | T23: FY22–23 | T25: FY24–25 · BS</x:v>
      </x:c>
    </x:row>
    <x:row r="26" ht="22" customHeight="1">
      <x:c r="A26" s="2"/>
      <x:c r="B26" s="26" t="str">
        <x:v>Trade payables</x:v>
      </x:c>
      <x:c r="C26" s="19" t="n">
        <x:v>2066.81</x:v>
      </x:c>
      <x:c r="D26" s="19" t="n">
        <x:v>1674.44</x:v>
      </x:c>
      <x:c r="E26" s="19" t="n">
        <x:v>1678.8</x:v>
      </x:c>
      <x:c r="F26" s="19" t="n">
        <x:v>2089.32</x:v>
      </x:c>
      <x:c r="G26" s="19" t="n">
        <x:v>1820.02</x:v>
      </x:c>
      <x:c r="H26" s="2"/>
      <x:c r="I26" s="2"/>
      <x:c r="J26" s="20" t="str">
        <x:v>T21: FY21 | T23: FY22–23 | T25: FY24–25 · BS</x:v>
      </x:c>
    </x:row>
    <x:row r="27" ht="22" customHeight="1">
      <x:c r="A27" s="2"/>
      <x:c r="B27" s="26" t="str">
        <x:v>Cash and cash equivalents</x:v>
      </x:c>
      <x:c r="C27" s="19" t="n">
        <x:v>572.56</x:v>
      </x:c>
      <x:c r="D27" s="19" t="n">
        <x:v>398.4</x:v>
      </x:c>
      <x:c r="E27" s="19" t="n">
        <x:v>508.53</x:v>
      </x:c>
      <x:c r="F27" s="19" t="n">
        <x:v>835.14</x:v>
      </x:c>
      <x:c r="G27" s="19" t="n">
        <x:v>573.48</x:v>
      </x:c>
      <x:c r="H27" s="2"/>
      <x:c r="I27" s="2"/>
      <x:c r="J27" s="20" t="str">
        <x:v>T21: FY21 | T23: FY22–23 | T25: FY24–25 · BS</x:v>
      </x:c>
    </x:row>
    <x:row r="28" ht="22" customHeight="1">
      <x:c r="A28" s="2"/>
      <x:c r="B28" s="26" t="str">
        <x:v>Current financial investments*</x:v>
      </x:c>
      <x:c r="C28" s="19" t="n">
        <x:v>139.03</x:v>
      </x:c>
      <x:c r="D28" s="19" t="n">
        <x:v>183.96</x:v>
      </x:c>
      <x:c r="E28" s="19" t="n">
        <x:v>156.06</x:v>
      </x:c>
      <x:c r="F28" s="19" t="n">
        <x:v>140.96</x:v>
      </x:c>
      <x:c r="G28" s="19" t="n">
        <x:v>112.21</x:v>
      </x:c>
      <x:c r="H28" s="2"/>
      <x:c r="I28" s="2"/>
      <x:c r="J28" s="20" t="str">
        <x:v>T21: FY21 | T23: FY22–23 | T25: FY24–25 · BS</x:v>
      </x:c>
    </x:row>
    <x:row r="29" ht="22" customHeight="1">
      <x:c r="A29" s="2"/>
      <x:c r="B29" s="26" t="str">
        <x:v>Other bank balances (excluded from net debt)</x:v>
      </x:c>
      <x:c r="C29" s="19" t="n">
        <x:v>30.94</x:v>
      </x:c>
      <x:c r="D29" s="19" t="n">
        <x:v>5.01</x:v>
      </x:c>
      <x:c r="E29" s="19" t="n">
        <x:v>62.93</x:v>
      </x:c>
      <x:c r="F29" s="19" t="n">
        <x:v>3.9</x:v>
      </x:c>
      <x:c r="G29" s="19" t="n">
        <x:v>5.98</x:v>
      </x:c>
      <x:c r="H29" s="2"/>
      <x:c r="I29" s="2"/>
      <x:c r="J29" s="20" t="str">
        <x:v>T21: FY21 | T23: FY22–23 | T25: FY24–25 · BS</x:v>
      </x:c>
    </x:row>
    <x:row r="30" ht="22" customHeight="1">
      <x:c r="A30" s="2"/>
      <x:c r="B30" s="26" t="str">
        <x:v>Total current assets</x:v>
      </x:c>
      <x:c r="C30" s="19" t="n">
        <x:v>5521.5</x:v>
      </x:c>
      <x:c r="D30" s="19" t="n">
        <x:v>5164.99</x:v>
      </x:c>
      <x:c r="E30" s="19" t="n">
        <x:v>5313.72</x:v>
      </x:c>
      <x:c r="F30" s="19" t="n">
        <x:v>5611.48</x:v>
      </x:c>
      <x:c r="G30" s="19" t="n">
        <x:v>5622.57</x:v>
      </x:c>
      <x:c r="H30" s="2"/>
      <x:c r="I30" s="2"/>
      <x:c r="J30" s="20" t="str">
        <x:v>T21: FY21 | T23: FY22–23 | T25: FY24–25 · BS</x:v>
      </x:c>
    </x:row>
    <x:row r="31" ht="22" customHeight="1">
      <x:c r="A31" s="2"/>
      <x:c r="B31" s="26" t="str">
        <x:v>Total assets</x:v>
      </x:c>
      <x:c r="C31" s="19" t="n">
        <x:v>14074.65</x:v>
      </x:c>
      <x:c r="D31" s="19" t="n">
        <x:v>13099.84</x:v>
      </x:c>
      <x:c r="E31" s="19" t="n">
        <x:v>15011.85</x:v>
      </x:c>
      <x:c r="F31" s="19" t="n">
        <x:v>15060.58</x:v>
      </x:c>
      <x:c r="G31" s="19" t="n">
        <x:v>14989.74</x:v>
      </x:c>
      <x:c r="H31" s="2"/>
      <x:c r="I31" s="2"/>
      <x:c r="J31" s="20" t="str">
        <x:v>T21: FY21 | T23: FY22–23 | T25: FY24–25 · BS</x:v>
      </x:c>
    </x:row>
    <x:row r="32" ht="22" customHeight="1">
      <x:c r="A32" s="2"/>
      <x:c r="B32" s="26" t="str">
        <x:v>Total equity, including NCI</x:v>
      </x:c>
      <x:c r="C32" s="19" t="n">
        <x:v>5837.17</x:v>
      </x:c>
      <x:c r="D32" s="19" t="n">
        <x:v>5952.95</x:v>
      </x:c>
      <x:c r="E32" s="19" t="n">
        <x:v>6198.07</x:v>
      </x:c>
      <x:c r="F32" s="19" t="n">
        <x:v>6856.15</x:v>
      </x:c>
      <x:c r="G32" s="19" t="n">
        <x:v>7590.69</x:v>
      </x:c>
      <x:c r="H32" s="2"/>
      <x:c r="I32" s="2"/>
      <x:c r="J32" s="20" t="str">
        <x:v>T21: FY21 | T23: FY22–23 | T25: FY24–25 · BS</x:v>
      </x:c>
    </x:row>
    <x:row r="33" ht="22" customHeight="1">
      <x:c r="A33" s="2"/>
      <x:c r="B33" s="26" t="str">
        <x:v>Non-current borrowings</x:v>
      </x:c>
      <x:c r="C33" s="19" t="n">
        <x:v>2941.07</x:v>
      </x:c>
      <x:c r="D33" s="19" t="n">
        <x:v>2123.22</x:v>
      </x:c>
      <x:c r="E33" s="19" t="n">
        <x:v>2496.22</x:v>
      </x:c>
      <x:c r="F33" s="19" t="n">
        <x:v>1603.78</x:v>
      </x:c>
      <x:c r="G33" s="19" t="n">
        <x:v>1191.75</x:v>
      </x:c>
      <x:c r="H33" s="2"/>
      <x:c r="I33" s="2"/>
      <x:c r="J33" s="20" t="str">
        <x:v>T21: FY21 | T23: FY22–23 | T25: FY24–25 · BS</x:v>
      </x:c>
    </x:row>
    <x:row r="34" ht="22" customHeight="1">
      <x:c r="A34" s="2"/>
      <x:c r="B34" s="26" t="str">
        <x:v>Current borrowings</x:v>
      </x:c>
      <x:c r="C34" s="19" t="n">
        <x:v>704.4</x:v>
      </x:c>
      <x:c r="D34" s="19" t="n">
        <x:v>1894.88</x:v>
      </x:c>
      <x:c r="E34" s="19" t="n">
        <x:v>2801.08</x:v>
      </x:c>
      <x:c r="F34" s="19" t="n">
        <x:v>2333.64</x:v>
      </x:c>
      <x:c r="G34" s="19" t="n">
        <x:v>1834.34</x:v>
      </x:c>
      <x:c r="H34" s="2"/>
      <x:c r="I34" s="2"/>
      <x:c r="J34" s="20" t="str">
        <x:v>T21: FY21 | T23: FY22–23 | T25: FY24–25 · BS</x:v>
      </x:c>
    </x:row>
    <x:row r="35" ht="22" customHeight="1">
      <x:c r="A35" s="2"/>
      <x:c r="B35" s="26" t="str">
        <x:v>Debt maturities outside borrowings line</x:v>
      </x:c>
      <x:c r="C35" s="19" t="n">
        <x:v>1179.99</x:v>
      </x:c>
      <x:c r="D35" s="19" t="n">
        <x:v>0</x:v>
      </x:c>
      <x:c r="E35" s="19" t="n">
        <x:v>0</x:v>
      </x:c>
      <x:c r="F35" s="19" t="n">
        <x:v>0</x:v>
      </x:c>
      <x:c r="G35" s="19" t="n">
        <x:v>0</x:v>
      </x:c>
      <x:c r="H35" s="2"/>
      <x:c r="I35" s="2"/>
      <x:c r="J35" s="20" t="str">
        <x:v>T21: FY21 | T23: FY22–23 | T25: FY24–25 · BS</x:v>
      </x:c>
    </x:row>
    <x:row r="36" ht="22" customHeight="1">
      <x:c r="A36" s="2"/>
      <x:c r="B36" s="26" t="str">
        <x:v>Non-current lease liabilities</x:v>
      </x:c>
      <x:c r="C36" s="19" t="n">
        <x:v>22.2</x:v>
      </x:c>
      <x:c r="D36" s="19" t="n">
        <x:v>36.82</x:v>
      </x:c>
      <x:c r="E36" s="19" t="n">
        <x:v>52.93</x:v>
      </x:c>
      <x:c r="F36" s="19" t="n">
        <x:v>64.46</x:v>
      </x:c>
      <x:c r="G36" s="19" t="n">
        <x:v>145.86</x:v>
      </x:c>
      <x:c r="H36" s="2"/>
      <x:c r="I36" s="2"/>
      <x:c r="J36" s="20" t="str">
        <x:v>T21: FY21 | T23: FY22–23 | T25: FY24–25 · BS</x:v>
      </x:c>
    </x:row>
    <x:row r="37" ht="22" customHeight="1">
      <x:c r="A37" s="2"/>
      <x:c r="B37" s="26" t="str">
        <x:v>Current lease liabilities</x:v>
      </x:c>
      <x:c r="C37" s="19" t="n">
        <x:v>26.47</x:v>
      </x:c>
      <x:c r="D37" s="19" t="n">
        <x:v>14.73</x:v>
      </x:c>
      <x:c r="E37" s="19" t="n">
        <x:v>18.33</x:v>
      </x:c>
      <x:c r="F37" s="19" t="n">
        <x:v>20.06</x:v>
      </x:c>
      <x:c r="G37" s="19" t="n">
        <x:v>30.37</x:v>
      </x:c>
      <x:c r="H37" s="2"/>
      <x:c r="I37" s="2"/>
      <x:c r="J37" s="20" t="str">
        <x:v>T21: FY21 | T23: FY22–23 | T25: FY24–25 · BS</x:v>
      </x:c>
    </x:row>
    <x:row r="38" ht="22" customHeight="1">
      <x:c r="A38" s="2"/>
      <x:c r="B38" s="26" t="str">
        <x:v>Total non-current liabilities</x:v>
      </x:c>
      <x:c r="C38" s="19" t="n">
        <x:v>3345.86</x:v>
      </x:c>
      <x:c r="D38" s="19" t="n">
        <x:v>2731.8</x:v>
      </x:c>
      <x:c r="E38" s="19" t="n">
        <x:v>3366.48</x:v>
      </x:c>
      <x:c r="F38" s="19" t="n">
        <x:v>2779.18</x:v>
      </x:c>
      <x:c r="G38" s="19" t="n">
        <x:v>2681.86</x:v>
      </x:c>
      <x:c r="H38" s="2"/>
      <x:c r="I38" s="2"/>
      <x:c r="J38" s="20" t="str">
        <x:v>T21: FY21 | T23: FY22–23 | T25: FY24–25 · BS</x:v>
      </x:c>
    </x:row>
    <x:row r="39" ht="22" customHeight="1">
      <x:c r="A39" s="2"/>
      <x:c r="B39" s="26" t="str">
        <x:v>Total current liabilities</x:v>
      </x:c>
      <x:c r="C39" s="19" t="n">
        <x:v>4891.62</x:v>
      </x:c>
      <x:c r="D39" s="19" t="n">
        <x:v>4415.09</x:v>
      </x:c>
      <x:c r="E39" s="19" t="n">
        <x:v>5447.3</x:v>
      </x:c>
      <x:c r="F39" s="19" t="n">
        <x:v>5425.25</x:v>
      </x:c>
      <x:c r="G39" s="19" t="n">
        <x:v>4717.19</x:v>
      </x:c>
      <x:c r="H39" s="2"/>
      <x:c r="I39" s="2"/>
      <x:c r="J39" s="20" t="str">
        <x:v>T21: FY21 | T23: FY22–23 | T25: FY24–25 · BS</x:v>
      </x:c>
    </x:row>
    <x:row r="40" ht="22" customHeight="1">
      <x:c r="A40" s="2"/>
      <x:c r="B40" s="26"/>
      <x:c r="C40" s="14"/>
      <x:c r="D40" s="14"/>
      <x:c r="E40" s="14"/>
      <x:c r="F40" s="14"/>
      <x:c r="G40" s="14"/>
      <x:c r="H40" s="2"/>
      <x:c r="I40" s="2"/>
      <x:c r="J40" s="2"/>
    </x:row>
    <x:row r="41" ht="25" customHeight="1">
      <x:c r="A41" s="2"/>
      <x:c r="B41" s="27" t="str">
        <x:v>CASH FLOW</x:v>
      </x:c>
      <x:c r="C41" s="22"/>
      <x:c r="D41" s="22"/>
      <x:c r="E41" s="22"/>
      <x:c r="F41" s="22"/>
      <x:c r="G41" s="22"/>
      <x:c r="H41" s="2"/>
      <x:c r="I41" s="2"/>
      <x:c r="J41" s="2"/>
    </x:row>
    <x:row r="42" ht="22" customHeight="1">
      <x:c r="A42" s="2"/>
      <x:c r="B42" s="26" t="str">
        <x:v>Net cash from operating activities</x:v>
      </x:c>
      <x:c r="C42" s="19" t="n">
        <x:v>2010.69</x:v>
      </x:c>
      <x:c r="D42" s="19" t="n">
        <x:v>1802.99</x:v>
      </x:c>
      <x:c r="E42" s="19" t="n">
        <x:v>2368.13</x:v>
      </x:c>
      <x:c r="F42" s="19" t="n">
        <x:v>3266.08</x:v>
      </x:c>
      <x:c r="G42" s="19" t="n">
        <x:v>2585.11</x:v>
      </x:c>
      <x:c r="H42" s="2"/>
      <x:c r="I42" s="2"/>
      <x:c r="J42" s="20" t="str">
        <x:v>T21: FY21 | T23: FY22–23 | T25: FY24–25 · CF</x:v>
      </x:c>
    </x:row>
    <x:row r="43" ht="22" customHeight="1">
      <x:c r="A43" s="2"/>
      <x:c r="B43" s="26" t="str">
        <x:v>PPE / combined capex cash spend*</x:v>
      </x:c>
      <x:c r="C43" s="19" t="n">
        <x:v>335.15</x:v>
      </x:c>
      <x:c r="D43" s="19" t="n">
        <x:v>202.57</x:v>
      </x:c>
      <x:c r="E43" s="19" t="n">
        <x:v>573.94</x:v>
      </x:c>
      <x:c r="F43" s="19" t="n">
        <x:v>432.78</x:v>
      </x:c>
      <x:c r="G43" s="19" t="n">
        <x:v>611.87</x:v>
      </x:c>
      <x:c r="H43" s="2"/>
      <x:c r="I43" s="2"/>
      <x:c r="J43" s="20" t="str">
        <x:v>T21: FY21 | T23: FY22–23 | T25: FY24–25 · CF</x:v>
      </x:c>
    </x:row>
    <x:row r="44" ht="22" customHeight="1">
      <x:c r="A44" s="2"/>
      <x:c r="B44" s="26" t="str">
        <x:v>Separately disclosed intangible cash spend</x:v>
      </x:c>
      <x:c r="C44" s="19" t="n">
        <x:v>0</x:v>
      </x:c>
      <x:c r="D44" s="19" t="n">
        <x:v>0</x:v>
      </x:c>
      <x:c r="E44" s="19" t="n">
        <x:v>0</x:v>
      </x:c>
      <x:c r="F44" s="19" t="n">
        <x:v>0</x:v>
      </x:c>
      <x:c r="G44" s="19" t="n">
        <x:v>0</x:v>
      </x:c>
      <x:c r="H44" s="2"/>
      <x:c r="I44" s="2"/>
      <x:c r="J44" s="20" t="str">
        <x:v>T21: FY21 | T23: FY22–23 | T25: FY24–25 · CF</x:v>
      </x:c>
    </x:row>
    <x:row r="45" ht="22" customHeight="1">
      <x:c r="A45" s="2"/>
      <x:c r="B45" s="26" t="str">
        <x:v>Business acquisition cash payment</x:v>
      </x:c>
      <x:c r="C45" s="19" t="n">
        <x:v>0</x:v>
      </x:c>
      <x:c r="D45" s="19" t="n">
        <x:v>0</x:v>
      </x:c>
      <x:c r="E45" s="19" t="n">
        <x:v>2000</x:v>
      </x:c>
      <x:c r="F45" s="19" t="n">
        <x:v>0</x:v>
      </x:c>
      <x:c r="G45" s="19" t="n">
        <x:v>0</x:v>
      </x:c>
      <x:c r="H45" s="2"/>
      <x:c r="I45" s="2"/>
      <x:c r="J45" s="20" t="str">
        <x:v>T21: FY21 | T23: FY22–23 | T25: FY24–25 · CF</x:v>
      </x:c>
    </x:row>
    <x:row r="46" ht="22" customHeight="1">
      <x:c r="A46" s="2"/>
      <x:c r="B46" s="26" t="str">
        <x:v>Net cash from investing activities</x:v>
      </x:c>
      <x:c r="C46" s="19" t="n">
        <x:v>-449.42</x:v>
      </x:c>
      <x:c r="D46" s="19" t="n">
        <x:v>-196.63</x:v>
      </x:c>
      <x:c r="E46" s="19" t="n">
        <x:v>-2415.31</x:v>
      </x:c>
      <x:c r="F46" s="19" t="n">
        <x:v>-167.9</x:v>
      </x:c>
      <x:c r="G46" s="19" t="n">
        <x:v>-540.05</x:v>
      </x:c>
      <x:c r="H46" s="2"/>
      <x:c r="I46" s="2"/>
      <x:c r="J46" s="20" t="str">
        <x:v>T21: FY21 | T23: FY22–23 | T25: FY24–25 · CF</x:v>
      </x:c>
    </x:row>
    <x:row r="47" ht="22" customHeight="1">
      <x:c r="A47" s="2"/>
      <x:c r="B47" s="26" t="str">
        <x:v>Net cash from financing activities</x:v>
      </x:c>
      <x:c r="C47" s="19" t="n">
        <x:v>-1656.13</x:v>
      </x:c>
      <x:c r="D47" s="19" t="n">
        <x:v>-1781.05</x:v>
      </x:c>
      <x:c r="E47" s="19" t="n">
        <x:v>77.36</x:v>
      </x:c>
      <x:c r="F47" s="19" t="n">
        <x:v>-2779.64</x:v>
      </x:c>
      <x:c r="G47" s="19" t="n">
        <x:v>-2297.99</x:v>
      </x:c>
      <x:c r="H47" s="2"/>
      <x:c r="I47" s="2"/>
      <x:c r="J47" s="20" t="str">
        <x:v>T21: FY21 | T23: FY22–23 | T25: FY24–25 · CF</x:v>
      </x:c>
    </x:row>
    <x:row r="48" ht="22" customHeight="1">
      <x:c r="A48" s="2"/>
      <x:c r="B48" s="26" t="str">
        <x:v>Exchange effect on cash</x:v>
      </x:c>
      <x:c r="C48" s="19" t="n">
        <x:v>5.6</x:v>
      </x:c>
      <x:c r="D48" s="19" t="n">
        <x:v>0.53</x:v>
      </x:c>
      <x:c r="E48" s="19" t="n">
        <x:v>21.12</x:v>
      </x:c>
      <x:c r="F48" s="19" t="n">
        <x:v>8.07</x:v>
      </x:c>
      <x:c r="G48" s="19" t="n">
        <x:v>-8.73</x:v>
      </x:c>
      <x:c r="H48" s="2"/>
      <x:c r="I48" s="2"/>
      <x:c r="J48" s="20" t="str">
        <x:v>T21: FY21 | T23: FY22–23 | T25: FY24–25 · CF</x:v>
      </x:c>
    </x:row>
    <x:row r="49" ht="22" customHeight="1">
      <x:c r="A49" s="2"/>
      <x:c r="B49" s="26" t="str">
        <x:v>Opening cash: cash-flow statement</x:v>
      </x:c>
      <x:c r="C49" s="19" t="n">
        <x:v>661.82</x:v>
      </x:c>
      <x:c r="D49" s="19" t="n">
        <x:v>572.56</x:v>
      </x:c>
      <x:c r="E49" s="19" t="n">
        <x:v>398.4</x:v>
      </x:c>
      <x:c r="F49" s="19" t="n">
        <x:v>508.53</x:v>
      </x:c>
      <x:c r="G49" s="19" t="n">
        <x:v>835.14</x:v>
      </x:c>
      <x:c r="H49" s="2"/>
      <x:c r="I49" s="2"/>
      <x:c r="J49" s="20" t="str">
        <x:v>T21: FY21 | T23: FY22–23 | T25: FY24–25 · CF</x:v>
      </x:c>
    </x:row>
    <x:row r="50" ht="22" customHeight="1">
      <x:c r="A50" s="2"/>
      <x:c r="B50" s="26" t="str">
        <x:v>Cash acquired in subsidiary acquisition</x:v>
      </x:c>
      <x:c r="C50" s="19" t="n">
        <x:v>0</x:v>
      </x:c>
      <x:c r="D50" s="19" t="n">
        <x:v>0</x:v>
      </x:c>
      <x:c r="E50" s="19" t="n">
        <x:v>58.83</x:v>
      </x:c>
      <x:c r="F50" s="19" t="n">
        <x:v>0</x:v>
      </x:c>
      <x:c r="G50" s="19" t="n">
        <x:v>0</x:v>
      </x:c>
      <x:c r="H50" s="2"/>
      <x:c r="I50" s="2"/>
      <x:c r="J50" s="20" t="str">
        <x:v>T21: FY21 | T23: FY22–23 | T25: FY24–25 · CF</x:v>
      </x:c>
    </x:row>
    <x:row r="51" ht="22" customHeight="1">
      <x:c r="A51" s="2"/>
      <x:c r="B51" s="26" t="str">
        <x:v>Closing cash: cash-flow statement</x:v>
      </x:c>
      <x:c r="C51" s="19" t="n">
        <x:v>572.56</x:v>
      </x:c>
      <x:c r="D51" s="19" t="n">
        <x:v>398.4</x:v>
      </x:c>
      <x:c r="E51" s="19" t="n">
        <x:v>508.53</x:v>
      </x:c>
      <x:c r="F51" s="19" t="n">
        <x:v>835.14</x:v>
      </x:c>
      <x:c r="G51" s="19" t="n">
        <x:v>573.48</x:v>
      </x:c>
      <x:c r="H51" s="2"/>
      <x:c r="I51" s="2"/>
      <x:c r="J51" s="20" t="str">
        <x:v>T21: FY21 | T23: FY22–23 | T25: FY24–25 · CF</x:v>
      </x:c>
    </x:row>
    <x:row r="52" ht="22" customHeight="1">
      <x:c r="A52" s="2"/>
      <x:c r="B52" s="26" t="str">
        <x:v>Overdraft netted from cash-flow cash</x:v>
      </x:c>
      <x:c r="C52" s="19" t="n">
        <x:v>0</x:v>
      </x:c>
      <x:c r="D52" s="19" t="n">
        <x:v>0</x:v>
      </x:c>
      <x:c r="E52" s="19" t="n">
        <x:v>0</x:v>
      </x:c>
      <x:c r="F52" s="19" t="n">
        <x:v>0</x:v>
      </x:c>
      <x:c r="G52" s="19" t="n">
        <x:v>0</x:v>
      </x:c>
      <x:c r="H52" s="2"/>
      <x:c r="I52" s="2"/>
      <x:c r="J52" s="20" t="str">
        <x:v>T21: FY21 | T23: FY22–23 | T25: FY24–25 · CF</x:v>
      </x:c>
    </x:row>
    <x:row r="53" ht="22" customHeight="1">
      <x:c r="A53" s="2"/>
      <x:c r="B53" s="26"/>
      <x:c r="C53" s="14"/>
      <x:c r="D53" s="14"/>
      <x:c r="E53" s="14"/>
      <x:c r="F53" s="14"/>
      <x:c r="G53" s="14"/>
      <x:c r="H53" s="2"/>
      <x:c r="I53" s="2"/>
      <x:c r="J53" s="2"/>
    </x:row>
    <x:row r="54" ht="25" customHeight="1">
      <x:c r="A54" s="2"/>
      <x:c r="B54" s="27" t="str">
        <x:v>SHARES &amp; EPS — RAW COUNTS / INR PER SHARE</x:v>
      </x:c>
      <x:c r="C54" s="22"/>
      <x:c r="D54" s="22"/>
      <x:c r="E54" s="22"/>
      <x:c r="F54" s="22"/>
      <x:c r="G54" s="22"/>
      <x:c r="H54" s="2"/>
      <x:c r="I54" s="2"/>
      <x:c r="J54" s="2"/>
    </x:row>
    <x:row r="55" ht="22" customHeight="1">
      <x:c r="A55" s="2"/>
      <x:c r="B55" s="26" t="str">
        <x:v>Weighted-average basic shares (count)</x:v>
      </x:c>
      <x:c r="C55" s="23" t="n">
        <x:v>169222720</x:v>
      </x:c>
      <x:c r="D55" s="23" t="n">
        <x:v>338445440</x:v>
      </x:c>
      <x:c r="E55" s="23" t="n">
        <x:v>338445440</x:v>
      </x:c>
      <x:c r="F55" s="23" t="n">
        <x:v>338445440</x:v>
      </x:c>
      <x:c r="G55" s="23" t="n">
        <x:v>338445440</x:v>
      </x:c>
      <x:c r="H55" s="2"/>
      <x:c r="I55" s="2"/>
      <x:c r="J55" s="20" t="str">
        <x:v>T21: FY21 | T23: FY22–23 | T25: FY24–25 · EPS / share notes</x:v>
      </x:c>
    </x:row>
    <x:row r="56" ht="22" customHeight="1">
      <x:c r="A56" s="2"/>
      <x:c r="B56" s="26" t="str">
        <x:v>Weighted-average diluted shares (count)</x:v>
      </x:c>
      <x:c r="C56" s="23" t="n">
        <x:v>169222720</x:v>
      </x:c>
      <x:c r="D56" s="23" t="n">
        <x:v>338445440</x:v>
      </x:c>
      <x:c r="E56" s="23" t="n">
        <x:v>338445440</x:v>
      </x:c>
      <x:c r="F56" s="23" t="n">
        <x:v>338445440</x:v>
      </x:c>
      <x:c r="G56" s="23" t="n">
        <x:v>338445440</x:v>
      </x:c>
      <x:c r="H56" s="2"/>
      <x:c r="I56" s="2"/>
      <x:c r="J56" s="20" t="str">
        <x:v>T21: FY21 | T23: FY22–23 | T25: FY24–25 · EPS / share notes</x:v>
      </x:c>
    </x:row>
    <x:row r="57" ht="22" customHeight="1">
      <x:c r="A57" s="2"/>
      <x:c r="B57" s="26" t="str">
        <x:v>Closing issued shares (count)</x:v>
      </x:c>
      <x:c r="C57" s="23" t="n">
        <x:v>169222720</x:v>
      </x:c>
      <x:c r="D57" s="23" t="n">
        <x:v>169222720</x:v>
      </x:c>
      <x:c r="E57" s="23" t="n">
        <x:v>338445440</x:v>
      </x:c>
      <x:c r="F57" s="23" t="n">
        <x:v>338445440</x:v>
      </x:c>
      <x:c r="G57" s="23" t="n">
        <x:v>338445440</x:v>
      </x:c>
      <x:c r="H57" s="2"/>
      <x:c r="I57" s="2"/>
      <x:c r="J57" s="20" t="str">
        <x:v>T21: FY21 | T23: FY22–23 | T25: FY24–25 · EPS / share notes</x:v>
      </x:c>
    </x:row>
    <x:row r="58" ht="22" customHeight="1">
      <x:c r="A58" s="2"/>
      <x:c r="B58" s="26" t="str">
        <x:v>WA share adjustment to FY25 basis (x)</x:v>
      </x:c>
      <x:c r="C58" s="24" t="n">
        <x:v>2</x:v>
      </x:c>
      <x:c r="D58" s="24" t="n">
        <x:v>1</x:v>
      </x:c>
      <x:c r="E58" s="24" t="n">
        <x:v>1</x:v>
      </x:c>
      <x:c r="F58" s="24" t="n">
        <x:v>1</x:v>
      </x:c>
      <x:c r="G58" s="24" t="n">
        <x:v>1</x:v>
      </x:c>
      <x:c r="H58" s="2"/>
      <x:c r="I58" s="2"/>
      <x:c r="J58" s="20" t="str">
        <x:v>T21: FY21 | T23: FY22–23 | T25: FY24–25 · EPS / share notes</x:v>
      </x:c>
    </x:row>
    <x:row r="59" ht="22" customHeight="1">
      <x:c r="A59" s="2"/>
      <x:c r="B59" s="26" t="str">
        <x:v>Closing share adjustment to FY25 basis (x)</x:v>
      </x:c>
      <x:c r="C59" s="24" t="n">
        <x:v>2</x:v>
      </x:c>
      <x:c r="D59" s="24" t="n">
        <x:v>2</x:v>
      </x:c>
      <x:c r="E59" s="24" t="n">
        <x:v>1</x:v>
      </x:c>
      <x:c r="F59" s="24" t="n">
        <x:v>1</x:v>
      </x:c>
      <x:c r="G59" s="24" t="n">
        <x:v>1</x:v>
      </x:c>
      <x:c r="H59" s="2"/>
      <x:c r="I59" s="2"/>
      <x:c r="J59" s="20" t="str">
        <x:v>T21: FY21 | T23: FY22–23 | T25: FY24–25 · EPS / share notes</x:v>
      </x:c>
    </x:row>
    <x:row r="60" ht="22" customHeight="1">
      <x:c r="A60" s="2"/>
      <x:c r="B60" s="26" t="str">
        <x:v>Reported basic EPS (INR)</x:v>
      </x:c>
      <x:c r="C60" s="24" t="n">
        <x:v>73.98</x:v>
      </x:c>
      <x:c r="D60" s="24" t="n">
        <x:v>22.96</x:v>
      </x:c>
      <x:c r="E60" s="24" t="n">
        <x:v>36.79</x:v>
      </x:c>
      <x:c r="F60" s="24" t="n">
        <x:v>48.94</x:v>
      </x:c>
      <x:c r="G60" s="24" t="n">
        <x:v>56.47</x:v>
      </x:c>
      <x:c r="H60" s="2"/>
      <x:c r="I60" s="2"/>
      <x:c r="J60" s="20" t="str">
        <x:v>T21: FY21 | T23: FY22–23 | T25: FY24–25 · EPS / share notes</x:v>
      </x:c>
    </x:row>
    <x:row r="61" ht="22" customHeight="1">
      <x:c r="A61" s="2"/>
      <x:c r="B61" s="26" t="str">
        <x:v>Reported diluted EPS (INR)</x:v>
      </x:c>
      <x:c r="C61" s="24" t="n">
        <x:v>73.98</x:v>
      </x:c>
      <x:c r="D61" s="24" t="n">
        <x:v>22.96</x:v>
      </x:c>
      <x:c r="E61" s="24" t="n">
        <x:v>36.79</x:v>
      </x:c>
      <x:c r="F61" s="24" t="n">
        <x:v>48.94</x:v>
      </x:c>
      <x:c r="G61" s="24" t="n">
        <x:v>56.47</x:v>
      </x:c>
      <x:c r="H61" s="2"/>
      <x:c r="I61" s="2"/>
      <x:c r="J61" s="20" t="str">
        <x:v>T21: FY21 | T23: FY22–23 | T25: FY24–25 · EPS / share notes</x:v>
      </x:c>
    </x:row>
    <x:row r="62" ht="22" customHeight="1">
      <x:c r="A62" s="2"/>
      <x:c r="B62" s="2"/>
      <x:c r="C62" s="3"/>
      <x:c r="D62" s="3"/>
      <x:c r="E62" s="3"/>
      <x:c r="F62" s="3"/>
      <x:c r="G62" s="3"/>
      <x:c r="H62" s="2"/>
      <x:c r="I62" s="2"/>
      <x:c r="J62" s="2"/>
    </x:row>
    <x:row r="63" ht="25" customHeight="1">
      <x:c r="A63" s="2"/>
      <x:c r="B63" s="17" t="str">
        <x:v>MODEL CONVENTIONS</x:v>
      </x:c>
      <x:c r="C63" s="18"/>
      <x:c r="D63" s="18"/>
      <x:c r="E63" s="18"/>
      <x:c r="F63" s="18"/>
      <x:c r="G63" s="18"/>
      <x:c r="H63" s="2"/>
      <x:c r="I63" s="2"/>
      <x:c r="J63" s="2"/>
    </x:row>
    <x:row r="64" ht="22" customHeight="1">
      <x:c r="A64" s="2"/>
      <x:c r="B64" s="2" t="str">
        <x:v>Raw money units per INR crore</x:v>
      </x:c>
      <x:c r="C64" s="3" t="n">
        <x:v>1</x:v>
      </x:c>
      <x:c r="D64" s="3"/>
      <x:c r="E64" s="3"/>
      <x:c r="F64" s="3"/>
      <x:c r="G64" s="3"/>
      <x:c r="H64" s="2"/>
      <x:c r="I64" s="2"/>
      <x:c r="J64" s="2"/>
    </x:row>
    <x:row r="65" ht="22" customHeight="1">
      <x:c r="A65" s="2"/>
      <x:c r="B65" s="2" t="str">
        <x:v>Days in year for working-capital ratios</x:v>
      </x:c>
      <x:c r="C65" s="3" t="n">
        <x:v>365</x:v>
      </x:c>
      <x:c r="D65" s="3"/>
      <x:c r="E65" s="3"/>
      <x:c r="F65" s="3"/>
      <x:c r="G65" s="3"/>
      <x:c r="H65" s="2"/>
      <x:c r="I65" s="2"/>
      <x:c r="J65" s="2"/>
    </x:row>
    <x:row r="66" ht="22" customHeight="1">
      <x:c r="A66" s="2"/>
      <x:c r="B66" s="2" t="str">
        <x:v>Shares per crore</x:v>
      </x:c>
      <x:c r="C66" s="25" t="n">
        <x:v>10000000</x:v>
      </x:c>
      <x:c r="D66" s="3"/>
      <x:c r="E66" s="3"/>
      <x:c r="F66" s="3"/>
      <x:c r="G66" s="3"/>
      <x:c r="H66" s="2"/>
      <x:c r="I66" s="2"/>
      <x:c r="J66" s="2"/>
    </x:row>
    <x:row r="67" ht="22" customHeight="1">
      <x:c r="A67" s="2"/>
      <x:c r="B67" s="2" t="str">
        <x:v>FY25 India business revenue (raw units)</x:v>
      </x:c>
      <x:c r="C67" s="3"/>
      <x:c r="D67" s="3"/>
      <x:c r="E67" s="3"/>
      <x:c r="F67" s="3"/>
      <x:c r="G67" s="3" t="n">
        <x:v>6393</x:v>
      </x:c>
      <x:c r="H67" s="2"/>
      <x:c r="I67" s="2"/>
      <x:c r="J67" s="2" t="str">
        <x:v>T25: p132, management commercial market (rounded)</x:v>
      </x:c>
    </x:row>
    <x:row r="68" ht="22" customHeight="1">
      <x:c r="A68" s="2"/>
      <x:c r="B68" s="2"/>
      <x:c r="C68" s="3"/>
      <x:c r="D68" s="3"/>
      <x:c r="E68" s="3"/>
      <x:c r="F68" s="3"/>
      <x:c r="G68" s="3"/>
      <x:c r="H68" s="2"/>
      <x:c r="I68" s="2"/>
      <x:c r="J68" s="2"/>
    </x:row>
    <x:row r="69" ht="25" customHeight="1">
      <x:c r="A69" s="2"/>
      <x:c r="B69" s="17" t="str">
        <x:v>SOURCE REGISTER — PRINTED REPORT PAGE NUMBERS</x:v>
      </x:c>
      <x:c r="C69" s="18"/>
      <x:c r="D69" s="18"/>
      <x:c r="E69" s="18"/>
      <x:c r="F69" s="18"/>
      <x:c r="G69" s="18"/>
      <x:c r="H69" s="2"/>
      <x:c r="I69" s="2"/>
      <x:c r="J69" s="2"/>
    </x:row>
    <x:row r="70" ht="42" customHeight="1">
      <x:c r="A70" s="2"/>
      <x:c r="B70" s="8" t="str">
        <x:v>T21 — FY21 annual report. FY21: BS p212; P&amp;L p213; CF p216; debt p243; EPS p246.</x:v>
      </x:c>
      <x:c r="C70" s="9"/>
      <x:c r="D70" s="9"/>
      <x:c r="E70" s="9"/>
      <x:c r="F70" s="9"/>
      <x:c r="G70" s="9"/>
      <x:c r="H70" s="2"/>
      <x:c r="I70" s="2"/>
      <x:c r="J70" s="2"/>
    </x:row>
    <x:row r="71" ht="36" customHeight="1">
      <x:c r="A71" s="2"/>
      <x:c r="B71" s="8" t="str">
        <x:v>https://www.torrentpharma.com/pdf/investors/AR-2020-21.pdf</x:v>
      </x:c>
      <x:c r="C71" s="9"/>
      <x:c r="D71" s="9"/>
      <x:c r="E71" s="9"/>
      <x:c r="F71" s="9"/>
      <x:c r="G71" s="9"/>
      <x:c r="H71" s="2"/>
      <x:c r="I71" s="2"/>
      <x:c r="J71" s="2"/>
    </x:row>
    <x:row r="72" ht="42" customHeight="1">
      <x:c r="A72" s="2"/>
      <x:c r="B72" s="8" t="str">
        <x:v>T23 — FY23 annual report. FY22/FY23: BS p288; P&amp;L p289; CF pp292–293; EPS pp330–331.</x:v>
      </x:c>
      <x:c r="C72" s="9"/>
      <x:c r="D72" s="9"/>
      <x:c r="E72" s="9"/>
      <x:c r="F72" s="9"/>
      <x:c r="G72" s="9"/>
      <x:c r="H72" s="2"/>
      <x:c r="I72" s="2"/>
      <x:c r="J72" s="2"/>
    </x:row>
    <x:row r="73" ht="36" customHeight="1">
      <x:c r="A73" s="2"/>
      <x:c r="B73" s="8" t="str">
        <x:v>https://torrentpharma.com/pdf/download/AR-2022-23.pdf</x:v>
      </x:c>
      <x:c r="C73" s="9"/>
      <x:c r="D73" s="9"/>
      <x:c r="E73" s="9"/>
      <x:c r="F73" s="9"/>
      <x:c r="G73" s="9"/>
      <x:c r="H73" s="2"/>
      <x:c r="I73" s="2"/>
      <x:c r="J73" s="2"/>
    </x:row>
    <x:row r="74" ht="42" customHeight="1">
      <x:c r="A74" s="2"/>
      <x:c r="B74" s="8" t="str">
        <x:v>T25 — FY25 annual report. FY24/FY25: BS p298; P&amp;L p299; CF p302; EPS p343; India p132.</x:v>
      </x:c>
      <x:c r="C74" s="9"/>
      <x:c r="D74" s="9"/>
      <x:c r="E74" s="9"/>
      <x:c r="F74" s="9"/>
      <x:c r="G74" s="9"/>
      <x:c r="H74" s="2"/>
      <x:c r="I74" s="2"/>
      <x:c r="J74" s="2"/>
    </x:row>
    <x:row r="75" ht="36" customHeight="1">
      <x:c r="A75" s="2"/>
      <x:c r="B75" s="8" t="str">
        <x:v>https://www.torrentpharma.com/pdf/investors/AR-2024-25_Single_page_view.pdf</x:v>
      </x:c>
      <x:c r="C75" s="9"/>
      <x:c r="D75" s="9"/>
      <x:c r="E75" s="9"/>
      <x:c r="F75" s="9"/>
      <x:c r="G75" s="9"/>
      <x:c r="H75" s="2"/>
      <x:c r="I75" s="2"/>
      <x:c r="J75" s="2"/>
    </x:row>
    <x:row r="76" ht="52" customHeight="1">
      <x:c r="A76" s="2"/>
      <x:c r="B76" s="8" t="str">
        <x:v>* Current investments: liquid mutual funds from the cash-flow note. Capex is the combined PPE / intangible cash payment. The separate intangible row is zero to prevent double counting.</x:v>
      </x:c>
      <x:c r="C76" s="9"/>
      <x:c r="D76" s="9"/>
      <x:c r="E76" s="9"/>
      <x:c r="F76" s="9"/>
      <x:c r="G76" s="9"/>
      <x:c r="H76" s="2"/>
      <x:c r="I76" s="2"/>
      <x:c r="J76" s="2"/>
    </x:row>
    <x:row r="77" ht="48" customHeight="1">
      <x:c r="A77" s="2"/>
      <x:c r="B77" s="8" t="str">
        <x:v>FY21: INR 1,179.99 crore of current debt maturities sat in other financial liabilities. Later years include maturities in current borrowings. ESOP adjustment is zero: none is applied.</x:v>
      </x:c>
      <x:c r="C77" s="9"/>
      <x:c r="D77" s="9"/>
      <x:c r="E77" s="9"/>
      <x:c r="F77" s="9"/>
      <x:c r="G77" s="9"/>
      <x:c r="H77" s="2"/>
      <x:c r="I77" s="2"/>
      <x:c r="J77" s="2"/>
    </x:row>
    <x:row r="78" ht="42" customHeight="1">
      <x:c r="A78" s="2"/>
      <x:c r="B78" s="8" t="str">
        <x:v>FY25 annual reports were published after 29 June 2025; they are used to reconcile historical statements approved in May 2025. No FY26 outcomes enter this workbook.</x:v>
      </x:c>
      <x:c r="C78" s="9"/>
      <x:c r="D78" s="9"/>
      <x:c r="E78" s="9"/>
      <x:c r="F78" s="9"/>
      <x:c r="G78" s="9"/>
      <x:c r="H78" s="2"/>
      <x:c r="I78" s="2"/>
      <x:c r="J78" s="2"/>
    </x:row>
    <x:row r="79" ht="22" customHeight="1">
      <x:c r="A79" s="2"/>
      <x:c r="B79" s="2"/>
      <x:c r="C79" s="3"/>
      <x:c r="D79" s="3"/>
      <x:c r="E79" s="3"/>
      <x:c r="F79" s="3"/>
      <x:c r="G79" s="3"/>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2" customHeight="1">
      <x:c r="A82" s="2"/>
      <x:c r="B82" s="2"/>
      <x:c r="C82" s="3"/>
      <x:c r="D82" s="3"/>
      <x:c r="E82" s="3"/>
      <x:c r="F82" s="3"/>
      <x:c r="G82" s="3"/>
      <x:c r="H82" s="2"/>
      <x:c r="I82" s="2"/>
      <x:c r="J82" s="2"/>
    </x:row>
    <x:row r="83" ht="22" customHeight="1">
      <x:c r="A83" s="2"/>
      <x:c r="B83" s="2"/>
      <x:c r="C83" s="3"/>
      <x:c r="D83" s="3"/>
      <x:c r="E83" s="3"/>
      <x:c r="F83" s="3"/>
      <x:c r="G83" s="3"/>
      <x:c r="H83" s="2"/>
      <x:c r="I83" s="2"/>
      <x:c r="J83" s="2"/>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row r="86" ht="22" customHeight="1">
      <x:c r="A86" s="2"/>
      <x:c r="B86" s="2"/>
      <x:c r="C86" s="3"/>
      <x:c r="D86" s="3"/>
      <x:c r="E86" s="3"/>
      <x:c r="F86" s="3"/>
      <x:c r="G86" s="3"/>
      <x:c r="H86" s="2"/>
      <x:c r="I86" s="2"/>
      <x:c r="J86" s="2"/>
    </x:row>
    <x:row r="87" ht="22" customHeight="1">
      <x:c r="A87" s="2"/>
      <x:c r="B87" s="2"/>
      <x:c r="C87" s="3"/>
      <x:c r="D87" s="3"/>
      <x:c r="E87" s="3"/>
      <x:c r="F87" s="3"/>
      <x:c r="G87" s="3"/>
      <x:c r="H87" s="2"/>
      <x:c r="I87" s="2"/>
      <x:c r="J87" s="2"/>
    </x:row>
    <x:row r="88" ht="22" customHeight="1">
      <x:c r="A88" s="2"/>
      <x:c r="B88" s="2"/>
      <x:c r="C88" s="3"/>
      <x:c r="D88" s="3"/>
      <x:c r="E88" s="3"/>
      <x:c r="F88" s="3"/>
      <x:c r="G88" s="3"/>
      <x:c r="H88" s="2"/>
      <x:c r="I88" s="2"/>
      <x:c r="J88" s="2"/>
    </x:row>
    <x:row r="89" ht="22" customHeight="1">
      <x:c r="A89" s="2"/>
      <x:c r="B89" s="2"/>
      <x:c r="C89" s="3"/>
      <x:c r="D89" s="3"/>
      <x:c r="E89" s="3"/>
      <x:c r="F89" s="3"/>
      <x:c r="G89" s="3"/>
      <x:c r="H89" s="2"/>
      <x:c r="I89" s="2"/>
      <x:c r="J89" s="2"/>
    </x:row>
    <x:row r="90" ht="22" customHeight="1">
      <x:c r="A90" s="2"/>
      <x:c r="B90" s="2"/>
      <x:c r="C90" s="3"/>
      <x:c r="D90" s="3"/>
      <x:c r="E90" s="3"/>
      <x:c r="F90" s="3"/>
      <x:c r="G90" s="3"/>
      <x:c r="H90" s="2"/>
      <x:c r="I90" s="2"/>
      <x:c r="J90" s="2"/>
    </x:row>
    <x:row r="91" ht="22" customHeight="1">
      <x:c r="A91" s="2"/>
      <x:c r="B91" s="2"/>
      <x:c r="C91" s="3"/>
      <x:c r="D91" s="3"/>
      <x:c r="E91" s="3"/>
      <x:c r="F91" s="3"/>
      <x:c r="G91" s="3"/>
      <x:c r="H91" s="2"/>
      <x:c r="I91" s="2"/>
      <x:c r="J91" s="2"/>
    </x:row>
    <x:row r="92" ht="22" customHeight="1">
      <x:c r="A92" s="2"/>
      <x:c r="B92" s="2"/>
      <x:c r="C92" s="3"/>
      <x:c r="D92" s="3"/>
      <x:c r="E92" s="3"/>
      <x:c r="F92" s="3"/>
      <x:c r="G92" s="3"/>
      <x:c r="H92" s="2"/>
      <x:c r="I92" s="2"/>
      <x:c r="J92" s="2"/>
    </x:row>
    <x:row r="93" ht="22" customHeight="1">
      <x:c r="A93" s="2"/>
      <x:c r="B93" s="2"/>
      <x:c r="C93" s="3"/>
      <x:c r="D93" s="3"/>
      <x:c r="E93" s="3"/>
      <x:c r="F93" s="3"/>
      <x:c r="G93" s="3"/>
      <x:c r="H93" s="2"/>
      <x:c r="I93" s="2"/>
      <x:c r="J93" s="2"/>
    </x:row>
    <x:row r="94" ht="22" customHeight="1">
      <x:c r="A94" s="2"/>
      <x:c r="B94" s="2"/>
      <x:c r="C94" s="3"/>
      <x:c r="D94" s="3"/>
      <x:c r="E94" s="3"/>
      <x:c r="F94" s="3"/>
      <x:c r="G94" s="3"/>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row r="101" ht="22" customHeight="1">
      <x:c r="A101" s="2"/>
      <x:c r="B101" s="2"/>
      <x:c r="C101" s="3"/>
      <x:c r="D101" s="3"/>
      <x:c r="E101" s="3"/>
      <x:c r="F101" s="3"/>
      <x:c r="G101" s="3"/>
      <x:c r="H101" s="2"/>
      <x:c r="I101" s="2"/>
      <x:c r="J101" s="2"/>
    </x:row>
    <x:row r="102" ht="22" customHeight="1">
      <x:c r="A102" s="2"/>
      <x:c r="B102" s="2"/>
      <x:c r="C102" s="3"/>
      <x:c r="D102" s="3"/>
      <x:c r="E102" s="3"/>
      <x:c r="F102" s="3"/>
      <x:c r="G102" s="3"/>
      <x:c r="H102" s="2"/>
      <x:c r="I102" s="2"/>
      <x:c r="J102" s="2"/>
    </x:row>
    <x:row r="103" ht="22" customHeight="1">
      <x:c r="A103" s="2"/>
      <x:c r="B103" s="2"/>
      <x:c r="C103" s="3"/>
      <x:c r="D103" s="3"/>
      <x:c r="E103" s="3"/>
      <x:c r="F103" s="3"/>
      <x:c r="G103" s="3"/>
      <x:c r="H103" s="2"/>
      <x:c r="I103" s="2"/>
      <x:c r="J103" s="2"/>
    </x:row>
    <x:row r="104" ht="22" customHeight="1">
      <x:c r="A104" s="2"/>
      <x:c r="B104" s="2"/>
      <x:c r="C104" s="3"/>
      <x:c r="D104" s="3"/>
      <x:c r="E104" s="3"/>
      <x:c r="F104" s="3"/>
      <x:c r="G104" s="3"/>
      <x:c r="H104" s="2"/>
      <x:c r="I104" s="2"/>
      <x:c r="J104" s="2"/>
    </x:row>
    <x:row r="105" ht="22" customHeight="1">
      <x:c r="A105" s="2"/>
      <x:c r="B105" s="2"/>
      <x:c r="C105" s="3"/>
      <x:c r="D105" s="3"/>
      <x:c r="E105" s="3"/>
      <x:c r="F105" s="3"/>
      <x:c r="G105" s="3"/>
      <x:c r="H105" s="2"/>
      <x:c r="I105" s="2"/>
      <x:c r="J105" s="2"/>
    </x:row>
  </x:sheetData>
  <x:mergeCells>
    <x:mergeCell ref="B2:G2"/>
    <x:mergeCell ref="B3:G3"/>
    <x:mergeCell ref="B6:G6"/>
    <x:mergeCell ref="B23:G23"/>
    <x:mergeCell ref="B41:G41"/>
    <x:mergeCell ref="B54:G54"/>
    <x:mergeCell ref="B63:G63"/>
    <x:mergeCell ref="B69:G69"/>
    <x:mergeCell ref="B70:G70"/>
    <x:mergeCell ref="B71:G71"/>
    <x:mergeCell ref="B72:G72"/>
    <x:mergeCell ref="B73:G73"/>
    <x:mergeCell ref="B74:G74"/>
    <x:mergeCell ref="B75:G75"/>
    <x:mergeCell ref="B76:G76"/>
    <x:mergeCell ref="B77:G77"/>
    <x:mergeCell ref="B78:G78"/>
  </x:mergeCells>
  <x:pageMargins left="0.7" right="0.7" top="0.75" bottom="0.75" header="0.3" footer="0.3"/>
</x:worksheet>
</file>

<file path=xl/worksheets/sheet5.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x:row>
    <x:row r="2" ht="38" customHeight="1">
      <x:c r="A2" s="2"/>
      <x:c r="B2" s="4" t="str">
        <x:v>JB | source inputs</x:v>
      </x:c>
      <x:c r="C2" s="5"/>
      <x:c r="D2" s="5"/>
      <x:c r="E2" s="5"/>
      <x:c r="F2" s="5"/>
      <x:c r="G2" s="5"/>
      <x:c r="H2" s="2"/>
      <x:c r="I2" s="2"/>
      <x:c r="J2" s="2"/>
    </x:row>
    <x:row r="3" ht="30" customHeight="1">
      <x:c r="A3" s="2"/>
      <x:c r="B3" s="8" t="str">
        <x:v>Consolidated • money in INR lakh; shares and EPS as labelled • Blue cells are source inputs.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INCOME STATEMENT</x:v>
      </x:c>
      <x:c r="C6" s="18"/>
      <x:c r="D6" s="18"/>
      <x:c r="E6" s="18"/>
      <x:c r="F6" s="18"/>
      <x:c r="G6" s="18"/>
      <x:c r="H6" s="2"/>
      <x:c r="I6" s="2"/>
      <x:c r="J6" s="2"/>
    </x:row>
    <x:row r="7" ht="22" customHeight="1">
      <x:c r="A7" s="2"/>
      <x:c r="B7" s="26" t="str">
        <x:v>Revenue from operations</x:v>
      </x:c>
      <x:c r="C7" s="19" t="n">
        <x:v>204252.15</x:v>
      </x:c>
      <x:c r="D7" s="19" t="n">
        <x:v>242424.38</x:v>
      </x:c>
      <x:c r="E7" s="19" t="n">
        <x:v>314928.28</x:v>
      </x:c>
      <x:c r="F7" s="19" t="n">
        <x:v>348418.38</x:v>
      </x:c>
      <x:c r="G7" s="19" t="n">
        <x:v>391798.86</x:v>
      </x:c>
      <x:c r="H7" s="2"/>
      <x:c r="I7" s="2"/>
      <x:c r="J7" s="20" t="str">
        <x:v>J21: FY21 | J23: FY22–23 | J25: FY24–25 · P&amp;L</x:v>
      </x:c>
    </x:row>
    <x:row r="8" ht="22" customHeight="1">
      <x:c r="A8" s="2"/>
      <x:c r="B8" s="26" t="str">
        <x:v>Materials consumed</x:v>
      </x:c>
      <x:c r="C8" s="19" t="n">
        <x:v>54238.96</x:v>
      </x:c>
      <x:c r="D8" s="19" t="n">
        <x:v>60221.64</x:v>
      </x:c>
      <x:c r="E8" s="19" t="n">
        <x:v>78398.08</x:v>
      </x:c>
      <x:c r="F8" s="19" t="n">
        <x:v>81627.87</x:v>
      </x:c>
      <x:c r="G8" s="19" t="n">
        <x:v>82002.83</x:v>
      </x:c>
      <x:c r="H8" s="2"/>
      <x:c r="I8" s="2"/>
      <x:c r="J8" s="20" t="str">
        <x:v>J21: FY21 | J23: FY22–23 | J25: FY24–25 · P&amp;L</x:v>
      </x:c>
    </x:row>
    <x:row r="9" ht="22" customHeight="1">
      <x:c r="A9" s="2"/>
      <x:c r="B9" s="26" t="str">
        <x:v>Stock-in-trade purchases</x:v>
      </x:c>
      <x:c r="C9" s="19" t="n">
        <x:v>20036.65</x:v>
      </x:c>
      <x:c r="D9" s="19" t="n">
        <x:v>25816.46</x:v>
      </x:c>
      <x:c r="E9" s="19" t="n">
        <x:v>39522.14</x:v>
      </x:c>
      <x:c r="F9" s="19" t="n">
        <x:v>41262.36</x:v>
      </x:c>
      <x:c r="G9" s="19" t="n">
        <x:v>49694.65</x:v>
      </x:c>
      <x:c r="H9" s="2"/>
      <x:c r="I9" s="2"/>
      <x:c r="J9" s="20" t="str">
        <x:v>J21: FY21 | J23: FY22–23 | J25: FY24–25 · P&amp;L</x:v>
      </x:c>
    </x:row>
    <x:row r="10" ht="22" customHeight="1">
      <x:c r="A10" s="2"/>
      <x:c r="B10" s="26" t="str">
        <x:v>Inventory change: expense / (credit)</x:v>
      </x:c>
      <x:c r="C10" s="19" t="n">
        <x:v>-4125.71</x:v>
      </x:c>
      <x:c r="D10" s="19" t="n">
        <x:v>-1744.69</x:v>
      </x:c>
      <x:c r="E10" s="19" t="n">
        <x:v>-1100.05</x:v>
      </x:c>
      <x:c r="F10" s="19" t="n">
        <x:v>-4684.6</x:v>
      </x:c>
      <x:c r="G10" s="19" t="n">
        <x:v>-42.51</x:v>
      </x:c>
      <x:c r="H10" s="2"/>
      <x:c r="I10" s="2"/>
      <x:c r="J10" s="20" t="str">
        <x:v>J21: FY21 | J23: FY22–23 | J25: FY24–25 · P&amp;L</x:v>
      </x:c>
    </x:row>
    <x:row r="11" ht="22" customHeight="1">
      <x:c r="A11" s="2"/>
      <x:c r="B11" s="26" t="str">
        <x:v>Employee expense</x:v>
      </x:c>
      <x:c r="C11" s="19" t="n">
        <x:v>34060.09</x:v>
      </x:c>
      <x:c r="D11" s="19" t="n">
        <x:v>43924.22</x:v>
      </x:c>
      <x:c r="E11" s="19" t="n">
        <x:v>54345.1</x:v>
      </x:c>
      <x:c r="F11" s="19" t="n">
        <x:v>60141.11</x:v>
      </x:c>
      <x:c r="G11" s="19" t="n">
        <x:v>68760.78</x:v>
      </x:c>
      <x:c r="H11" s="2"/>
      <x:c r="I11" s="2"/>
      <x:c r="J11" s="20" t="str">
        <x:v>J21: FY21 | J23: FY22–23 | J25: FY24–25 · P&amp;L</x:v>
      </x:c>
    </x:row>
    <x:row r="12" ht="22" customHeight="1">
      <x:c r="A12" s="2"/>
      <x:c r="B12" s="26" t="str">
        <x:v>Other operating expenses</x:v>
      </x:c>
      <x:c r="C12" s="19" t="n">
        <x:v>44001.27</x:v>
      </x:c>
      <x:c r="D12" s="19" t="n">
        <x:v>59861.14</x:v>
      </x:c>
      <x:c r="E12" s="19" t="n">
        <x:v>74187.76</x:v>
      </x:c>
      <x:c r="F12" s="19" t="n">
        <x:v>80382.61</x:v>
      </x:c>
      <x:c r="G12" s="19" t="n">
        <x:v>88199.26</x:v>
      </x:c>
      <x:c r="H12" s="2"/>
      <x:c r="I12" s="2"/>
      <x:c r="J12" s="20" t="str">
        <x:v>J21: FY21 | J23: FY22–23 | J25: FY24–25 · P&amp;L</x:v>
      </x:c>
    </x:row>
    <x:row r="13" ht="22" customHeight="1">
      <x:c r="A13" s="2"/>
      <x:c r="B13" s="26" t="str">
        <x:v>Depreciation, amortisation &amp; impairment</x:v>
      </x:c>
      <x:c r="C13" s="19" t="n">
        <x:v>6866.55</x:v>
      </x:c>
      <x:c r="D13" s="19" t="n">
        <x:v>7265.99</x:v>
      </x:c>
      <x:c r="E13" s="19" t="n">
        <x:v>11440.69</x:v>
      </x:c>
      <x:c r="F13" s="19" t="n">
        <x:v>13832.04</x:v>
      </x:c>
      <x:c r="G13" s="19" t="n">
        <x:v>17103.69</x:v>
      </x:c>
      <x:c r="H13" s="2"/>
      <x:c r="I13" s="2"/>
      <x:c r="J13" s="20" t="str">
        <x:v>J21: FY21 | J23: FY22–23 | J25: FY24–25 · P&amp;L</x:v>
      </x:c>
    </x:row>
    <x:row r="14" ht="22" customHeight="1">
      <x:c r="A14" s="2"/>
      <x:c r="B14" s="26" t="str">
        <x:v>Finance costs</x:v>
      </x:c>
      <x:c r="C14" s="19" t="n">
        <x:v>724.12</x:v>
      </x:c>
      <x:c r="D14" s="19" t="n">
        <x:v>512.05</x:v>
      </x:c>
      <x:c r="E14" s="19" t="n">
        <x:v>3605.31</x:v>
      </x:c>
      <x:c r="F14" s="19" t="n">
        <x:v>4432.67</x:v>
      </x:c>
      <x:c r="G14" s="19" t="n">
        <x:v>1172.9</x:v>
      </x:c>
      <x:c r="H14" s="2"/>
      <x:c r="I14" s="2"/>
      <x:c r="J14" s="20" t="str">
        <x:v>J21: FY21 | J23: FY22–23 | J25: FY24–25 · P&amp;L</x:v>
      </x:c>
    </x:row>
    <x:row r="15" ht="22" customHeight="1">
      <x:c r="A15" s="2"/>
      <x:c r="B15" s="26" t="str">
        <x:v>Other income</x:v>
      </x:c>
      <x:c r="C15" s="19" t="n">
        <x:v>11238.32</x:v>
      </x:c>
      <x:c r="D15" s="19" t="n">
        <x:v>3922.63</x:v>
      </x:c>
      <x:c r="E15" s="19" t="n">
        <x:v>994.01</x:v>
      </x:c>
      <x:c r="F15" s="19" t="n">
        <x:v>3726.6</x:v>
      </x:c>
      <x:c r="G15" s="19" t="n">
        <x:v>3831.9</x:v>
      </x:c>
      <x:c r="H15" s="2"/>
      <x:c r="I15" s="2"/>
      <x:c r="J15" s="20" t="str">
        <x:v>J21: FY21 | J23: FY22–23 | J25: FY24–25 · P&amp;L</x:v>
      </x:c>
    </x:row>
    <x:row r="16" ht="22" customHeight="1">
      <x:c r="A16" s="2"/>
      <x:c r="B16" s="26" t="str">
        <x:v>Exceptional expense / (gain)</x:v>
      </x:c>
      <x:c r="C16" s="19" t="n">
        <x:v>0</x:v>
      </x:c>
      <x:c r="D16" s="19" t="n">
        <x:v>0</x:v>
      </x:c>
      <x:c r="E16" s="19" t="n">
        <x:v>0</x:v>
      </x:c>
      <x:c r="F16" s="19" t="n">
        <x:v>0</x:v>
      </x:c>
      <x:c r="G16" s="19" t="n">
        <x:v>0</x:v>
      </x:c>
      <x:c r="H16" s="2"/>
      <x:c r="I16" s="2"/>
      <x:c r="J16" s="20" t="str">
        <x:v>J21: FY21 | J23: FY22–23 | J25: FY24–25 · P&amp;L</x:v>
      </x:c>
    </x:row>
    <x:row r="17" ht="22" customHeight="1">
      <x:c r="A17" s="2"/>
      <x:c r="B17" s="26" t="str">
        <x:v>Total tax expense</x:v>
      </x:c>
      <x:c r="C17" s="19" t="n">
        <x:v>14836.24</x:v>
      </x:c>
      <x:c r="D17" s="19" t="n">
        <x:v>11886.31</x:v>
      </x:c>
      <x:c r="E17" s="19" t="n">
        <x:v>14522.73</x:v>
      </x:c>
      <x:c r="F17" s="19" t="n">
        <x:v>19888.14</x:v>
      </x:c>
      <x:c r="G17" s="19" t="n">
        <x:v>22780.98</x:v>
      </x:c>
      <x:c r="H17" s="2"/>
      <x:c r="I17" s="2"/>
      <x:c r="J17" s="20" t="str">
        <x:v>J21: FY21 | J23: FY22–23 | J25: FY24–25 · P&amp;L</x:v>
      </x:c>
    </x:row>
    <x:row r="18" ht="22" customHeight="1">
      <x:c r="A18" s="2"/>
      <x:c r="B18" s="26" t="str">
        <x:v>Reported profit before tax</x:v>
      </x:c>
      <x:c r="C18" s="19" t="n">
        <x:v>59688.54</x:v>
      </x:c>
      <x:c r="D18" s="19" t="n">
        <x:v>50490.2</x:v>
      </x:c>
      <x:c r="E18" s="19" t="n">
        <x:v>55523.26</x:v>
      </x:c>
      <x:c r="F18" s="19" t="n">
        <x:v>75150.92</x:v>
      </x:c>
      <x:c r="G18" s="19" t="n">
        <x:v>88739.16</x:v>
      </x:c>
      <x:c r="H18" s="2"/>
      <x:c r="I18" s="2"/>
      <x:c r="J18" s="20" t="str">
        <x:v>J21: FY21 | J23: FY22–23 | J25: FY24–25 · P&amp;L</x:v>
      </x:c>
    </x:row>
    <x:row r="19" ht="22" customHeight="1">
      <x:c r="A19" s="2"/>
      <x:c r="B19" s="26" t="str">
        <x:v>Reported total profit after tax</x:v>
      </x:c>
      <x:c r="C19" s="19" t="n">
        <x:v>44852.3</x:v>
      </x:c>
      <x:c r="D19" s="19" t="n">
        <x:v>38603.89</x:v>
      </x:c>
      <x:c r="E19" s="19" t="n">
        <x:v>41000.53</x:v>
      </x:c>
      <x:c r="F19" s="19" t="n">
        <x:v>55262.78</x:v>
      </x:c>
      <x:c r="G19" s="19" t="n">
        <x:v>65958.18</x:v>
      </x:c>
      <x:c r="H19" s="2"/>
      <x:c r="I19" s="2"/>
      <x:c r="J19" s="20" t="str">
        <x:v>J21: FY21 | J23: FY22–23 | J25: FY24–25 · P&amp;L</x:v>
      </x:c>
    </x:row>
    <x:row r="20" ht="22" customHeight="1">
      <x:c r="A20" s="2"/>
      <x:c r="B20" s="26" t="str">
        <x:v>PAT attributable to owners</x:v>
      </x:c>
      <x:c r="C20" s="19" t="n">
        <x:v>44796.36</x:v>
      </x:c>
      <x:c r="D20" s="19" t="n">
        <x:v>38535.74</x:v>
      </x:c>
      <x:c r="E20" s="19" t="n">
        <x:v>40983.55</x:v>
      </x:c>
      <x:c r="F20" s="19" t="n">
        <x:v>55262.78</x:v>
      </x:c>
      <x:c r="G20" s="19" t="n">
        <x:v>65958.18</x:v>
      </x:c>
      <x:c r="H20" s="2"/>
      <x:c r="I20" s="2"/>
      <x:c r="J20" s="20" t="str">
        <x:v>J21: FY21 | J23: FY22–23 | J25: FY24–25 · P&amp;L</x:v>
      </x:c>
    </x:row>
    <x:row r="21" ht="22" customHeight="1">
      <x:c r="A21" s="2"/>
      <x:c r="B21" s="26" t="str">
        <x:v>ESOP expense added back in adjustment</x:v>
      </x:c>
      <x:c r="C21" s="19" t="n">
        <x:v>0</x:v>
      </x:c>
      <x:c r="D21" s="19" t="n">
        <x:v>6265.35</x:v>
      </x:c>
      <x:c r="E21" s="19" t="n">
        <x:v>6937.34</x:v>
      </x:c>
      <x:c r="F21" s="19" t="n">
        <x:v>4196.65</x:v>
      </x:c>
      <x:c r="G21" s="19" t="n">
        <x:v>5490.26</x:v>
      </x:c>
      <x:c r="H21" s="2"/>
      <x:c r="I21" s="2"/>
      <x:c r="J21" s="20" t="str">
        <x:v>J21: FY21 | J23: FY22–23 | J25: FY24–25 · CF / ESOP adjustment</x:v>
      </x:c>
    </x:row>
    <x:row r="22" ht="22" customHeight="1">
      <x:c r="A22" s="2"/>
      <x:c r="B22" s="26"/>
      <x:c r="C22" s="14"/>
      <x:c r="D22" s="14"/>
      <x:c r="E22" s="14"/>
      <x:c r="F22" s="14"/>
      <x:c r="G22" s="14"/>
      <x:c r="H22" s="2"/>
      <x:c r="I22" s="2"/>
      <x:c r="J22" s="2"/>
    </x:row>
    <x:row r="23" ht="25" customHeight="1">
      <x:c r="A23" s="2"/>
      <x:c r="B23" s="27" t="str">
        <x:v>BALANCE SHEET</x:v>
      </x:c>
      <x:c r="C23" s="22"/>
      <x:c r="D23" s="22"/>
      <x:c r="E23" s="22"/>
      <x:c r="F23" s="22"/>
      <x:c r="G23" s="22"/>
      <x:c r="H23" s="2"/>
      <x:c r="I23" s="2"/>
      <x:c r="J23" s="2"/>
    </x:row>
    <x:row r="24" ht="22" customHeight="1">
      <x:c r="A24" s="2"/>
      <x:c r="B24" s="26" t="str">
        <x:v>Inventories</x:v>
      </x:c>
      <x:c r="C24" s="19" t="n">
        <x:v>34744.68</x:v>
      </x:c>
      <x:c r="D24" s="19" t="n">
        <x:v>40996.11</x:v>
      </x:c>
      <x:c r="E24" s="19" t="n">
        <x:v>43048.43</x:v>
      </x:c>
      <x:c r="F24" s="19" t="n">
        <x:v>50251.28</x:v>
      </x:c>
      <x:c r="G24" s="19" t="n">
        <x:v>52895.53</x:v>
      </x:c>
      <x:c r="H24" s="2"/>
      <x:c r="I24" s="2"/>
      <x:c r="J24" s="20" t="str">
        <x:v>J21: FY21 | J23: FY22–23 | J25: FY24–25 · BS</x:v>
      </x:c>
    </x:row>
    <x:row r="25" ht="22" customHeight="1">
      <x:c r="A25" s="2"/>
      <x:c r="B25" s="26" t="str">
        <x:v>Trade receivables</x:v>
      </x:c>
      <x:c r="C25" s="19" t="n">
        <x:v>38901.91</x:v>
      </x:c>
      <x:c r="D25" s="19" t="n">
        <x:v>55568.68</x:v>
      </x:c>
      <x:c r="E25" s="19" t="n">
        <x:v>57580.01</x:v>
      </x:c>
      <x:c r="F25" s="19" t="n">
        <x:v>68691.88</x:v>
      </x:c>
      <x:c r="G25" s="19" t="n">
        <x:v>81537.88</x:v>
      </x:c>
      <x:c r="H25" s="2"/>
      <x:c r="I25" s="2"/>
      <x:c r="J25" s="20" t="str">
        <x:v>J21: FY21 | J23: FY22–23 | J25: FY24–25 · BS</x:v>
      </x:c>
    </x:row>
    <x:row r="26" ht="22" customHeight="1">
      <x:c r="A26" s="2"/>
      <x:c r="B26" s="26" t="str">
        <x:v>Trade payables</x:v>
      </x:c>
      <x:c r="C26" s="19" t="n">
        <x:v>18692.34</x:v>
      </x:c>
      <x:c r="D26" s="19" t="n">
        <x:v>22447.97</x:v>
      </x:c>
      <x:c r="E26" s="19" t="n">
        <x:v>23864.76</x:v>
      </x:c>
      <x:c r="F26" s="19" t="n">
        <x:v>35631.03</x:v>
      </x:c>
      <x:c r="G26" s="19" t="n">
        <x:v>41071.71</x:v>
      </x:c>
      <x:c r="H26" s="2"/>
      <x:c r="I26" s="2"/>
      <x:c r="J26" s="20" t="str">
        <x:v>J21: FY21 | J23: FY22–23 | J25: FY24–25 · BS</x:v>
      </x:c>
    </x:row>
    <x:row r="27" ht="22" customHeight="1">
      <x:c r="A27" s="2"/>
      <x:c r="B27" s="26" t="str">
        <x:v>Cash and cash equivalents</x:v>
      </x:c>
      <x:c r="C27" s="19" t="n">
        <x:v>2868.55</x:v>
      </x:c>
      <x:c r="D27" s="19" t="n">
        <x:v>5654.41</x:v>
      </x:c>
      <x:c r="E27" s="19" t="n">
        <x:v>7693.44</x:v>
      </x:c>
      <x:c r="F27" s="19" t="n">
        <x:v>8821.51</x:v>
      </x:c>
      <x:c r="G27" s="19" t="n">
        <x:v>11509.1</x:v>
      </x:c>
      <x:c r="H27" s="2"/>
      <x:c r="I27" s="2"/>
      <x:c r="J27" s="20" t="str">
        <x:v>J21: FY21 | J23: FY22–23 | J25: FY24–25 · BS</x:v>
      </x:c>
    </x:row>
    <x:row r="28" ht="22" customHeight="1">
      <x:c r="A28" s="2"/>
      <x:c r="B28" s="26" t="str">
        <x:v>Current financial investments*</x:v>
      </x:c>
      <x:c r="C28" s="19" t="n">
        <x:v>66497.48</x:v>
      </x:c>
      <x:c r="D28" s="19" t="n">
        <x:v>0</x:v>
      </x:c>
      <x:c r="E28" s="19" t="n">
        <x:v>19218.45</x:v>
      </x:c>
      <x:c r="F28" s="19" t="n">
        <x:v>36465.01</x:v>
      </x:c>
      <x:c r="G28" s="19" t="n">
        <x:v>31710.85</x:v>
      </x:c>
      <x:c r="H28" s="2"/>
      <x:c r="I28" s="2"/>
      <x:c r="J28" s="20" t="str">
        <x:v>J21: FY21 | J23: FY22–23 | J25: FY24–25 · BS</x:v>
      </x:c>
    </x:row>
    <x:row r="29" ht="22" customHeight="1">
      <x:c r="A29" s="2"/>
      <x:c r="B29" s="26" t="str">
        <x:v>Other bank balances (excluded from net debt)</x:v>
      </x:c>
      <x:c r="C29" s="19" t="n">
        <x:v>216.62</x:v>
      </x:c>
      <x:c r="D29" s="19" t="n">
        <x:v>198.38</x:v>
      </x:c>
      <x:c r="E29" s="19" t="n">
        <x:v>187.84</x:v>
      </x:c>
      <x:c r="F29" s="19" t="n">
        <x:v>732.33</x:v>
      </x:c>
      <x:c r="G29" s="19" t="n">
        <x:v>1435.79</x:v>
      </x:c>
      <x:c r="H29" s="2"/>
      <x:c r="I29" s="2"/>
      <x:c r="J29" s="20" t="str">
        <x:v>J21: FY21 | J23: FY22–23 | J25: FY24–25 · BS</x:v>
      </x:c>
    </x:row>
    <x:row r="30" ht="22" customHeight="1">
      <x:c r="A30" s="2"/>
      <x:c r="B30" s="26" t="str">
        <x:v>Total current assets</x:v>
      </x:c>
      <x:c r="C30" s="19" t="n">
        <x:v>155260.24</x:v>
      </x:c>
      <x:c r="D30" s="19" t="n">
        <x:v>125316.16</x:v>
      </x:c>
      <x:c r="E30" s="19" t="n">
        <x:v>152803.3</x:v>
      </x:c>
      <x:c r="F30" s="19" t="n">
        <x:v>185334.53</x:v>
      </x:c>
      <x:c r="G30" s="19" t="n">
        <x:v>192274.19</x:v>
      </x:c>
      <x:c r="H30" s="2"/>
      <x:c r="I30" s="2"/>
      <x:c r="J30" s="20" t="str">
        <x:v>J21: FY21 | J23: FY22–23 | J25: FY24–25 · BS</x:v>
      </x:c>
    </x:row>
    <x:row r="31" ht="22" customHeight="1">
      <x:c r="A31" s="2"/>
      <x:c r="B31" s="26" t="str">
        <x:v>Total assets</x:v>
      </x:c>
      <x:c r="C31" s="19" t="n">
        <x:v>223811.52</x:v>
      </x:c>
      <x:c r="D31" s="19" t="n">
        <x:v>260740.22</x:v>
      </x:c>
      <x:c r="E31" s="19" t="n">
        <x:v>355387.06</x:v>
      </x:c>
      <x:c r="F31" s="19" t="n">
        <x:v>399412.71</x:v>
      </x:c>
      <x:c r="G31" s="19" t="n">
        <x:v>427377.96</x:v>
      </x:c>
      <x:c r="H31" s="2"/>
      <x:c r="I31" s="2"/>
      <x:c r="J31" s="20" t="str">
        <x:v>J21: FY21 | J23: FY22–23 | J25: FY24–25 · BS</x:v>
      </x:c>
    </x:row>
    <x:row r="32" ht="22" customHeight="1">
      <x:c r="A32" s="2"/>
      <x:c r="B32" s="26" t="str">
        <x:v>Total equity, including NCI</x:v>
      </x:c>
      <x:c r="C32" s="19" t="n">
        <x:v>181342.99</x:v>
      </x:c>
      <x:c r="D32" s="19" t="n">
        <x:v>213861.29</x:v>
      </x:c>
      <x:c r="E32" s="19" t="n">
        <x:v>248035.22</x:v>
      </x:c>
      <x:c r="F32" s="19" t="n">
        <x:v>292332.93</x:v>
      </x:c>
      <x:c r="G32" s="19" t="n">
        <x:v>343331.51</x:v>
      </x:c>
      <x:c r="H32" s="2"/>
      <x:c r="I32" s="2"/>
      <x:c r="J32" s="20" t="str">
        <x:v>J21: FY21 | J23: FY22–23 | J25: FY24–25 · BS</x:v>
      </x:c>
    </x:row>
    <x:row r="33" ht="22" customHeight="1">
      <x:c r="A33" s="2"/>
      <x:c r="B33" s="26" t="str">
        <x:v>Non-current borrowings</x:v>
      </x:c>
      <x:c r="C33" s="19" t="n">
        <x:v>0</x:v>
      </x:c>
      <x:c r="D33" s="19" t="n">
        <x:v>0</x:v>
      </x:c>
      <x:c r="E33" s="19" t="n">
        <x:v>38322.03</x:v>
      </x:c>
      <x:c r="F33" s="19" t="n">
        <x:v>2363.87</x:v>
      </x:c>
      <x:c r="G33" s="19" t="n">
        <x:v>0</x:v>
      </x:c>
      <x:c r="H33" s="2"/>
      <x:c r="I33" s="2"/>
      <x:c r="J33" s="20" t="str">
        <x:v>J21: FY21 | J23: FY22–23 | J25: FY24–25 · BS</x:v>
      </x:c>
    </x:row>
    <x:row r="34" ht="22" customHeight="1">
      <x:c r="A34" s="2"/>
      <x:c r="B34" s="26" t="str">
        <x:v>Current borrowings</x:v>
      </x:c>
      <x:c r="C34" s="19" t="n">
        <x:v>3264.46</x:v>
      </x:c>
      <x:c r="D34" s="19" t="n">
        <x:v>2631.5</x:v>
      </x:c>
      <x:c r="E34" s="19" t="n">
        <x:v>16501.8</x:v>
      </x:c>
      <x:c r="F34" s="19" t="n">
        <x:v>33350.23</x:v>
      </x:c>
      <x:c r="G34" s="19" t="n">
        <x:v>1380.38</x:v>
      </x:c>
      <x:c r="H34" s="2"/>
      <x:c r="I34" s="2"/>
      <x:c r="J34" s="20" t="str">
        <x:v>J21: FY21 | J23: FY22–23 | J25: FY24–25 · BS</x:v>
      </x:c>
    </x:row>
    <x:row r="35" ht="22" customHeight="1">
      <x:c r="A35" s="2"/>
      <x:c r="B35" s="26" t="str">
        <x:v>Debt maturities outside borrowings line</x:v>
      </x:c>
      <x:c r="C35" s="19" t="n">
        <x:v>0</x:v>
      </x:c>
      <x:c r="D35" s="19" t="n">
        <x:v>0</x:v>
      </x:c>
      <x:c r="E35" s="19" t="n">
        <x:v>0</x:v>
      </x:c>
      <x:c r="F35" s="19" t="n">
        <x:v>0</x:v>
      </x:c>
      <x:c r="G35" s="19" t="n">
        <x:v>0</x:v>
      </x:c>
      <x:c r="H35" s="2"/>
      <x:c r="I35" s="2"/>
      <x:c r="J35" s="20" t="str">
        <x:v>J21: FY21 | J23: FY22–23 | J25: FY24–25 · BS</x:v>
      </x:c>
    </x:row>
    <x:row r="36" ht="22" customHeight="1">
      <x:c r="A36" s="2"/>
      <x:c r="B36" s="26" t="str">
        <x:v>Non-current lease liabilities</x:v>
      </x:c>
      <x:c r="C36" s="19" t="n">
        <x:v>514.14</x:v>
      </x:c>
      <x:c r="D36" s="19" t="n">
        <x:v>2061.76</x:v>
      </x:c>
      <x:c r="E36" s="19" t="n">
        <x:v>1532.1</x:v>
      </x:c>
      <x:c r="F36" s="19" t="n">
        <x:v>963.83</x:v>
      </x:c>
      <x:c r="G36" s="19" t="n">
        <x:v>635.3</x:v>
      </x:c>
      <x:c r="H36" s="2"/>
      <x:c r="I36" s="2"/>
      <x:c r="J36" s="20" t="str">
        <x:v>J21: FY21 | J23: FY22–23 | J25: FY24–25 · BS</x:v>
      </x:c>
    </x:row>
    <x:row r="37" ht="22" customHeight="1">
      <x:c r="A37" s="2"/>
      <x:c r="B37" s="26" t="str">
        <x:v>Current lease liabilities</x:v>
      </x:c>
      <x:c r="C37" s="19" t="n">
        <x:v>720.19</x:v>
      </x:c>
      <x:c r="D37" s="19" t="n">
        <x:v>762.62</x:v>
      </x:c>
      <x:c r="E37" s="19" t="n">
        <x:v>888.69</x:v>
      </x:c>
      <x:c r="F37" s="19" t="n">
        <x:v>1087.66</x:v>
      </x:c>
      <x:c r="G37" s="19" t="n">
        <x:v>773.3</x:v>
      </x:c>
      <x:c r="H37" s="2"/>
      <x:c r="I37" s="2"/>
      <x:c r="J37" s="20" t="str">
        <x:v>J21: FY21 | J23: FY22–23 | J25: FY24–25 · BS</x:v>
      </x:c>
    </x:row>
    <x:row r="38" ht="22" customHeight="1">
      <x:c r="A38" s="2"/>
      <x:c r="B38" s="26" t="str">
        <x:v>Total non-current liabilities</x:v>
      </x:c>
      <x:c r="C38" s="19" t="n">
        <x:v>7941.16</x:v>
      </x:c>
      <x:c r="D38" s="19" t="n">
        <x:v>8507.37</x:v>
      </x:c>
      <x:c r="E38" s="19" t="n">
        <x:v>51906.91</x:v>
      </x:c>
      <x:c r="F38" s="19" t="n">
        <x:v>20257.17</x:v>
      </x:c>
      <x:c r="G38" s="19" t="n">
        <x:v>20812.54</x:v>
      </x:c>
      <x:c r="H38" s="2"/>
      <x:c r="I38" s="2"/>
      <x:c r="J38" s="20" t="str">
        <x:v>J21: FY21 | J23: FY22–23 | J25: FY24–25 · BS</x:v>
      </x:c>
    </x:row>
    <x:row r="39" ht="22" customHeight="1">
      <x:c r="A39" s="2"/>
      <x:c r="B39" s="26" t="str">
        <x:v>Total current liabilities</x:v>
      </x:c>
      <x:c r="C39" s="19" t="n">
        <x:v>34527.37</x:v>
      </x:c>
      <x:c r="D39" s="19" t="n">
        <x:v>38371.56</x:v>
      </x:c>
      <x:c r="E39" s="19" t="n">
        <x:v>55444.93</x:v>
      </x:c>
      <x:c r="F39" s="19" t="n">
        <x:v>86822.61</x:v>
      </x:c>
      <x:c r="G39" s="19" t="n">
        <x:v>63233.91</x:v>
      </x:c>
      <x:c r="H39" s="2"/>
      <x:c r="I39" s="2"/>
      <x:c r="J39" s="20" t="str">
        <x:v>J21: FY21 | J23: FY22–23 | J25: FY24–25 · BS</x:v>
      </x:c>
    </x:row>
    <x:row r="40" ht="22" customHeight="1">
      <x:c r="A40" s="2"/>
      <x:c r="B40" s="26"/>
      <x:c r="C40" s="14"/>
      <x:c r="D40" s="14"/>
      <x:c r="E40" s="14"/>
      <x:c r="F40" s="14"/>
      <x:c r="G40" s="14"/>
      <x:c r="H40" s="2"/>
      <x:c r="I40" s="2"/>
      <x:c r="J40" s="2"/>
    </x:row>
    <x:row r="41" ht="25" customHeight="1">
      <x:c r="A41" s="2"/>
      <x:c r="B41" s="27" t="str">
        <x:v>CASH FLOW</x:v>
      </x:c>
      <x:c r="C41" s="22"/>
      <x:c r="D41" s="22"/>
      <x:c r="E41" s="22"/>
      <x:c r="F41" s="22"/>
      <x:c r="G41" s="22"/>
      <x:c r="H41" s="2"/>
      <x:c r="I41" s="2"/>
      <x:c r="J41" s="2"/>
    </x:row>
    <x:row r="42" ht="22" customHeight="1">
      <x:c r="A42" s="2"/>
      <x:c r="B42" s="26" t="str">
        <x:v>Net cash from operating activities</x:v>
      </x:c>
      <x:c r="C42" s="19" t="n">
        <x:v>31478.49</x:v>
      </x:c>
      <x:c r="D42" s="19" t="n">
        <x:v>17013.45</x:v>
      </x:c>
      <x:c r="E42" s="19" t="n">
        <x:v>62561.21</x:v>
      </x:c>
      <x:c r="F42" s="19" t="n">
        <x:v>80061.17</x:v>
      </x:c>
      <x:c r="G42" s="19" t="n">
        <x:v>90244.98</x:v>
      </x:c>
      <x:c r="H42" s="2"/>
      <x:c r="I42" s="2"/>
      <x:c r="J42" s="20" t="str">
        <x:v>J21: FY21 | J23: FY22–23 | J25: FY24–25 · CF</x:v>
      </x:c>
    </x:row>
    <x:row r="43" ht="22" customHeight="1">
      <x:c r="A43" s="2"/>
      <x:c r="B43" s="26" t="str">
        <x:v>PPE / combined capex cash spend*</x:v>
      </x:c>
      <x:c r="C43" s="19" t="n">
        <x:v>4777.3</x:v>
      </x:c>
      <x:c r="D43" s="19" t="n">
        <x:v>6287</x:v>
      </x:c>
      <x:c r="E43" s="19" t="n">
        <x:v>7256.86</x:v>
      </x:c>
      <x:c r="F43" s="19" t="n">
        <x:v>12686.28</x:v>
      </x:c>
      <x:c r="G43" s="19" t="n">
        <x:v>9758.76</x:v>
      </x:c>
      <x:c r="H43" s="2"/>
      <x:c r="I43" s="2"/>
      <x:c r="J43" s="20" t="str">
        <x:v>J21: FY21 | J23: FY22–23 | J25: FY24–25 · CF</x:v>
      </x:c>
    </x:row>
    <x:row r="44" ht="22" customHeight="1">
      <x:c r="A44" s="2"/>
      <x:c r="B44" s="26" t="str">
        <x:v>Separately disclosed intangible cash spend</x:v>
      </x:c>
      <x:c r="C44" s="19" t="n">
        <x:v>0</x:v>
      </x:c>
      <x:c r="D44" s="19" t="n">
        <x:v>64391.92</x:v>
      </x:c>
      <x:c r="E44" s="19" t="n">
        <x:v>69237.84</x:v>
      </x:c>
      <x:c r="F44" s="19" t="n">
        <x:v>13450.42</x:v>
      </x:c>
      <x:c r="G44" s="19" t="n">
        <x:v>2271.85</x:v>
      </x:c>
      <x:c r="H44" s="2"/>
      <x:c r="I44" s="2"/>
      <x:c r="J44" s="20" t="str">
        <x:v>J21: FY21 | J23: FY22–23 | J25: FY24–25 · CF</x:v>
      </x:c>
    </x:row>
    <x:row r="45" ht="22" customHeight="1">
      <x:c r="A45" s="2"/>
      <x:c r="B45" s="26" t="str">
        <x:v>Business acquisition cash payment</x:v>
      </x:c>
      <x:c r="C45" s="19" t="n">
        <x:v>850</x:v>
      </x:c>
      <x:c r="D45" s="19" t="n">
        <x:v>0</x:v>
      </x:c>
      <x:c r="E45" s="19" t="n">
        <x:v>0</x:v>
      </x:c>
      <x:c r="F45" s="19" t="n">
        <x:v>0</x:v>
      </x:c>
      <x:c r="G45" s="19" t="n">
        <x:v>0</x:v>
      </x:c>
      <x:c r="H45" s="2"/>
      <x:c r="I45" s="2"/>
      <x:c r="J45" s="20" t="str">
        <x:v>J21: FY21 | J23: FY22–23 | J25: FY24–25 · CF</x:v>
      </x:c>
    </x:row>
    <x:row r="46" ht="22" customHeight="1">
      <x:c r="A46" s="2"/>
      <x:c r="B46" s="26" t="str">
        <x:v>Net cash from investing activities</x:v>
      </x:c>
      <x:c r="C46" s="19" t="n">
        <x:v>-23067.58</x:v>
      </x:c>
      <x:c r="D46" s="19" t="n">
        <x:v>231.99</x:v>
      </x:c>
      <x:c r="E46" s="19" t="n">
        <x:v>-96178.84</x:v>
      </x:c>
      <x:c r="F46" s="19" t="n">
        <x:v>-40383.04</x:v>
      </x:c>
      <x:c r="G46" s="19" t="n">
        <x:v>-29589.63</x:v>
      </x:c>
      <x:c r="H46" s="2"/>
      <x:c r="I46" s="2"/>
      <x:c r="J46" s="20" t="str">
        <x:v>J21: FY21 | J23: FY22–23 | J25: FY24–25 · CF</x:v>
      </x:c>
    </x:row>
    <x:row r="47" ht="22" customHeight="1">
      <x:c r="A47" s="2"/>
      <x:c r="B47" s="26" t="str">
        <x:v>Net cash from financing activities</x:v>
      </x:c>
      <x:c r="C47" s="19" t="n">
        <x:v>-8742.28</x:v>
      </x:c>
      <x:c r="D47" s="19" t="n">
        <x:v>-13838.51</x:v>
      </x:c>
      <x:c r="E47" s="19" t="n">
        <x:v>35653.8</x:v>
      </x:c>
      <x:c r="F47" s="19" t="n">
        <x:v>-38548.5</x:v>
      </x:c>
      <x:c r="G47" s="19" t="n">
        <x:v>-57967</x:v>
      </x:c>
      <x:c r="H47" s="2"/>
      <x:c r="I47" s="2"/>
      <x:c r="J47" s="20" t="str">
        <x:v>J21: FY21 | J23: FY22–23 | J25: FY24–25 · CF</x:v>
      </x:c>
    </x:row>
    <x:row r="48" ht="22" customHeight="1">
      <x:c r="A48" s="2"/>
      <x:c r="B48" s="26" t="str">
        <x:v>Exchange effect on cash</x:v>
      </x:c>
      <x:c r="C48" s="19" t="n">
        <x:v>3.55</x:v>
      </x:c>
      <x:c r="D48" s="19" t="n">
        <x:v>0.1</x:v>
      </x:c>
      <x:c r="E48" s="19" t="n">
        <x:v>2.86</x:v>
      </x:c>
      <x:c r="F48" s="19" t="n">
        <x:v>-1.56</x:v>
      </x:c>
      <x:c r="G48" s="19" t="n">
        <x:v>-0.76</x:v>
      </x:c>
      <x:c r="H48" s="2"/>
      <x:c r="I48" s="2"/>
      <x:c r="J48" s="20" t="str">
        <x:v>J21: FY21 | J23: FY22–23 | J25: FY24–25 · CF</x:v>
      </x:c>
    </x:row>
    <x:row r="49" ht="22" customHeight="1">
      <x:c r="A49" s="2"/>
      <x:c r="B49" s="26" t="str">
        <x:v>Opening cash: cash-flow statement</x:v>
      </x:c>
      <x:c r="C49" s="19" t="n">
        <x:v>2575.19</x:v>
      </x:c>
      <x:c r="D49" s="19" t="n">
        <x:v>2247.38</x:v>
      </x:c>
      <x:c r="E49" s="19" t="n">
        <x:v>5654.41</x:v>
      </x:c>
      <x:c r="F49" s="19" t="n">
        <x:v>7693.44</x:v>
      </x:c>
      <x:c r="G49" s="19" t="n">
        <x:v>8821.51</x:v>
      </x:c>
      <x:c r="H49" s="2"/>
      <x:c r="I49" s="2"/>
      <x:c r="J49" s="20" t="str">
        <x:v>J21: FY21 | J23: FY22–23 | J25: FY24–25 · CF</x:v>
      </x:c>
    </x:row>
    <x:row r="50" ht="22" customHeight="1">
      <x:c r="A50" s="2"/>
      <x:c r="B50" s="26" t="str">
        <x:v>Cash acquired in subsidiary acquisition</x:v>
      </x:c>
      <x:c r="C50" s="19" t="n">
        <x:v>0</x:v>
      </x:c>
      <x:c r="D50" s="19" t="n">
        <x:v>0</x:v>
      </x:c>
      <x:c r="E50" s="19" t="n">
        <x:v>0</x:v>
      </x:c>
      <x:c r="F50" s="19" t="n">
        <x:v>0</x:v>
      </x:c>
      <x:c r="G50" s="19" t="n">
        <x:v>0</x:v>
      </x:c>
      <x:c r="H50" s="2"/>
      <x:c r="I50" s="2"/>
      <x:c r="J50" s="20" t="str">
        <x:v>J21: FY21 | J23: FY22–23 | J25: FY24–25 · CF</x:v>
      </x:c>
    </x:row>
    <x:row r="51" ht="22" customHeight="1">
      <x:c r="A51" s="2"/>
      <x:c r="B51" s="26" t="str">
        <x:v>Closing cash: cash-flow statement</x:v>
      </x:c>
      <x:c r="C51" s="19" t="n">
        <x:v>2247.37</x:v>
      </x:c>
      <x:c r="D51" s="19" t="n">
        <x:v>5654.41</x:v>
      </x:c>
      <x:c r="E51" s="19" t="n">
        <x:v>7693.44</x:v>
      </x:c>
      <x:c r="F51" s="19" t="n">
        <x:v>8821.51</x:v>
      </x:c>
      <x:c r="G51" s="19" t="n">
        <x:v>11509.1</x:v>
      </x:c>
      <x:c r="H51" s="2"/>
      <x:c r="I51" s="2"/>
      <x:c r="J51" s="20" t="str">
        <x:v>J21: FY21 | J23: FY22–23 | J25: FY24–25 · CF</x:v>
      </x:c>
    </x:row>
    <x:row r="52" ht="22" customHeight="1">
      <x:c r="A52" s="2"/>
      <x:c r="B52" s="26" t="str">
        <x:v>Overdraft netted from cash-flow cash</x:v>
      </x:c>
      <x:c r="C52" s="19" t="n">
        <x:v>621.18</x:v>
      </x:c>
      <x:c r="D52" s="19" t="n">
        <x:v>0</x:v>
      </x:c>
      <x:c r="E52" s="19" t="n">
        <x:v>0</x:v>
      </x:c>
      <x:c r="F52" s="19" t="n">
        <x:v>0</x:v>
      </x:c>
      <x:c r="G52" s="19" t="n">
        <x:v>0</x:v>
      </x:c>
      <x:c r="H52" s="2"/>
      <x:c r="I52" s="2"/>
      <x:c r="J52" s="20" t="str">
        <x:v>J21: FY21 | J23: FY22–23 | J25: FY24–25 · CF</x:v>
      </x:c>
    </x:row>
    <x:row r="53" ht="22" customHeight="1">
      <x:c r="A53" s="2"/>
      <x:c r="B53" s="26"/>
      <x:c r="C53" s="14"/>
      <x:c r="D53" s="14"/>
      <x:c r="E53" s="14"/>
      <x:c r="F53" s="14"/>
      <x:c r="G53" s="14"/>
      <x:c r="H53" s="2"/>
      <x:c r="I53" s="2"/>
      <x:c r="J53" s="2"/>
    </x:row>
    <x:row r="54" ht="25" customHeight="1">
      <x:c r="A54" s="2"/>
      <x:c r="B54" s="27" t="str">
        <x:v>SHARES &amp; EPS — RAW COUNTS / INR PER SHARE</x:v>
      </x:c>
      <x:c r="C54" s="22"/>
      <x:c r="D54" s="22"/>
      <x:c r="E54" s="22"/>
      <x:c r="F54" s="22"/>
      <x:c r="G54" s="22"/>
      <x:c r="H54" s="2"/>
      <x:c r="I54" s="2"/>
      <x:c r="J54" s="2"/>
    </x:row>
    <x:row r="55" ht="22" customHeight="1">
      <x:c r="A55" s="2"/>
      <x:c r="B55" s="26" t="str">
        <x:v>Weighted-average basic shares (count)</x:v>
      </x:c>
      <x:c r="C55" s="23" t="n">
        <x:v>77282097</x:v>
      </x:c>
      <x:c r="D55" s="23" t="n">
        <x:v>77282097</x:v>
      </x:c>
      <x:c r="E55" s="23" t="n">
        <x:v>77324995</x:v>
      </x:c>
      <x:c r="F55" s="23" t="n">
        <x:v>154951521</x:v>
      </x:c>
      <x:c r="G55" s="23" t="n">
        <x:v>155364761</x:v>
      </x:c>
      <x:c r="H55" s="2"/>
      <x:c r="I55" s="2"/>
      <x:c r="J55" s="20" t="str">
        <x:v>J21: FY21 | J23: FY22–23 | J25: FY24–25 · EPS / share notes</x:v>
      </x:c>
    </x:row>
    <x:row r="56" ht="22" customHeight="1">
      <x:c r="A56" s="2"/>
      <x:c r="B56" s="26" t="str">
        <x:v>Weighted-average diluted shares (count)</x:v>
      </x:c>
      <x:c r="C56" s="23" t="n">
        <x:v>77282097</x:v>
      </x:c>
      <x:c r="D56" s="23" t="n">
        <x:v>77355224</x:v>
      </x:c>
      <x:c r="E56" s="23" t="n">
        <x:v>78308798</x:v>
      </x:c>
      <x:c r="F56" s="23" t="n">
        <x:v>158587465</x:v>
      </x:c>
      <x:c r="G56" s="23" t="n">
        <x:v>158691543</x:v>
      </x:c>
      <x:c r="H56" s="2"/>
      <x:c r="I56" s="2"/>
      <x:c r="J56" s="20" t="str">
        <x:v>J21: FY21 | J23: FY22–23 | J25: FY24–25 · EPS / share notes</x:v>
      </x:c>
    </x:row>
    <x:row r="57" ht="22" customHeight="1">
      <x:c r="A57" s="2"/>
      <x:c r="B57" s="26" t="str">
        <x:v>Closing issued shares (count)</x:v>
      </x:c>
      <x:c r="C57" s="23" t="n">
        <x:v>77282097</x:v>
      </x:c>
      <x:c r="D57" s="23" t="n">
        <x:v>77282097</x:v>
      </x:c>
      <x:c r="E57" s="23" t="n">
        <x:v>77377584</x:v>
      </x:c>
      <x:c r="F57" s="23" t="n">
        <x:v>155194800</x:v>
      </x:c>
      <x:c r="G57" s="23" t="n">
        <x:v>155677208</x:v>
      </x:c>
      <x:c r="H57" s="2"/>
      <x:c r="I57" s="2"/>
      <x:c r="J57" s="20" t="str">
        <x:v>J21: FY21 | J23: FY22–23 | J25: FY24–25 · EPS / share notes</x:v>
      </x:c>
    </x:row>
    <x:row r="58" ht="22" customHeight="1">
      <x:c r="A58" s="2"/>
      <x:c r="B58" s="26" t="str">
        <x:v>WA share adjustment to FY25 basis (x)</x:v>
      </x:c>
      <x:c r="C58" s="24" t="n">
        <x:v>2</x:v>
      </x:c>
      <x:c r="D58" s="24" t="n">
        <x:v>2</x:v>
      </x:c>
      <x:c r="E58" s="24" t="n">
        <x:v>2</x:v>
      </x:c>
      <x:c r="F58" s="24" t="n">
        <x:v>1</x:v>
      </x:c>
      <x:c r="G58" s="24" t="n">
        <x:v>1</x:v>
      </x:c>
      <x:c r="H58" s="2"/>
      <x:c r="I58" s="2"/>
      <x:c r="J58" s="20" t="str">
        <x:v>J21: FY21 | J23: FY22–23 | J25: FY24–25 · EPS / share notes</x:v>
      </x:c>
    </x:row>
    <x:row r="59" ht="22" customHeight="1">
      <x:c r="A59" s="2"/>
      <x:c r="B59" s="26" t="str">
        <x:v>Closing share adjustment to FY25 basis (x)</x:v>
      </x:c>
      <x:c r="C59" s="24" t="n">
        <x:v>2</x:v>
      </x:c>
      <x:c r="D59" s="24" t="n">
        <x:v>2</x:v>
      </x:c>
      <x:c r="E59" s="24" t="n">
        <x:v>2</x:v>
      </x:c>
      <x:c r="F59" s="24" t="n">
        <x:v>1</x:v>
      </x:c>
      <x:c r="G59" s="24" t="n">
        <x:v>1</x:v>
      </x:c>
      <x:c r="H59" s="2"/>
      <x:c r="I59" s="2"/>
      <x:c r="J59" s="20" t="str">
        <x:v>J21: FY21 | J23: FY22–23 | J25: FY24–25 · EPS / share notes</x:v>
      </x:c>
    </x:row>
    <x:row r="60" ht="22" customHeight="1">
      <x:c r="A60" s="2"/>
      <x:c r="B60" s="26" t="str">
        <x:v>Reported basic EPS (INR)</x:v>
      </x:c>
      <x:c r="C60" s="24" t="n">
        <x:v>57.96</x:v>
      </x:c>
      <x:c r="D60" s="24" t="n">
        <x:v>49.86</x:v>
      </x:c>
      <x:c r="E60" s="24" t="n">
        <x:v>53</x:v>
      </x:c>
      <x:c r="F60" s="24" t="n">
        <x:v>35.66</x:v>
      </x:c>
      <x:c r="G60" s="24" t="n">
        <x:v>42.45</x:v>
      </x:c>
      <x:c r="H60" s="2"/>
      <x:c r="I60" s="2"/>
      <x:c r="J60" s="20" t="str">
        <x:v>J21: FY21 | J23: FY22–23 | J25: FY24–25 · EPS / share notes</x:v>
      </x:c>
    </x:row>
    <x:row r="61" ht="22" customHeight="1">
      <x:c r="A61" s="2"/>
      <x:c r="B61" s="26" t="str">
        <x:v>Reported diluted EPS (INR)</x:v>
      </x:c>
      <x:c r="C61" s="24" t="n">
        <x:v>57.96</x:v>
      </x:c>
      <x:c r="D61" s="24" t="n">
        <x:v>49.82</x:v>
      </x:c>
      <x:c r="E61" s="24" t="n">
        <x:v>52.34</x:v>
      </x:c>
      <x:c r="F61" s="24" t="n">
        <x:v>34.85</x:v>
      </x:c>
      <x:c r="G61" s="24" t="n">
        <x:v>41.56</x:v>
      </x:c>
      <x:c r="H61" s="2"/>
      <x:c r="I61" s="2"/>
      <x:c r="J61" s="20" t="str">
        <x:v>J21: FY21 | J23: FY22–23 | J25: FY24–25 · EPS / share notes</x:v>
      </x:c>
    </x:row>
    <x:row r="62" ht="22" customHeight="1">
      <x:c r="A62" s="2"/>
      <x:c r="B62" s="2"/>
      <x:c r="C62" s="3"/>
      <x:c r="D62" s="3"/>
      <x:c r="E62" s="3"/>
      <x:c r="F62" s="3"/>
      <x:c r="G62" s="3"/>
      <x:c r="H62" s="2"/>
      <x:c r="I62" s="2"/>
      <x:c r="J62" s="2"/>
    </x:row>
    <x:row r="63" ht="25" customHeight="1">
      <x:c r="A63" s="2"/>
      <x:c r="B63" s="17" t="str">
        <x:v>MODEL CONVENTIONS</x:v>
      </x:c>
      <x:c r="C63" s="18"/>
      <x:c r="D63" s="18"/>
      <x:c r="E63" s="18"/>
      <x:c r="F63" s="18"/>
      <x:c r="G63" s="18"/>
      <x:c r="H63" s="2"/>
      <x:c r="I63" s="2"/>
      <x:c r="J63" s="2"/>
    </x:row>
    <x:row r="64" ht="22" customHeight="1">
      <x:c r="A64" s="2"/>
      <x:c r="B64" s="2" t="str">
        <x:v>Raw money units per INR crore</x:v>
      </x:c>
      <x:c r="C64" s="3" t="n">
        <x:v>100</x:v>
      </x:c>
      <x:c r="D64" s="3"/>
      <x:c r="E64" s="3"/>
      <x:c r="F64" s="3"/>
      <x:c r="G64" s="3"/>
      <x:c r="H64" s="2"/>
      <x:c r="I64" s="2"/>
      <x:c r="J64" s="2"/>
    </x:row>
    <x:row r="65" ht="22" customHeight="1">
      <x:c r="A65" s="2"/>
      <x:c r="B65" s="2" t="str">
        <x:v>Days in year for working-capital ratios</x:v>
      </x:c>
      <x:c r="C65" s="3" t="n">
        <x:v>365</x:v>
      </x:c>
      <x:c r="D65" s="3"/>
      <x:c r="E65" s="3"/>
      <x:c r="F65" s="3"/>
      <x:c r="G65" s="3"/>
      <x:c r="H65" s="2"/>
      <x:c r="I65" s="2"/>
      <x:c r="J65" s="2"/>
    </x:row>
    <x:row r="66" ht="22" customHeight="1">
      <x:c r="A66" s="2"/>
      <x:c r="B66" s="2" t="str">
        <x:v>Shares per crore</x:v>
      </x:c>
      <x:c r="C66" s="25" t="n">
        <x:v>10000000</x:v>
      </x:c>
      <x:c r="D66" s="3"/>
      <x:c r="E66" s="3"/>
      <x:c r="F66" s="3"/>
      <x:c r="G66" s="3"/>
      <x:c r="H66" s="2"/>
      <x:c r="I66" s="2"/>
      <x:c r="J66" s="2"/>
    </x:row>
    <x:row r="67" ht="22" customHeight="1">
      <x:c r="A67" s="2"/>
      <x:c r="B67" s="2" t="str">
        <x:v>FY25 India business revenue (raw units)</x:v>
      </x:c>
      <x:c r="C67" s="3"/>
      <x:c r="D67" s="3"/>
      <x:c r="E67" s="3"/>
      <x:c r="F67" s="3"/>
      <x:c r="G67" s="3" t="n">
        <x:v>226880.06</x:v>
      </x:c>
      <x:c r="H67" s="2"/>
      <x:c r="I67" s="2"/>
      <x:c r="J67" s="2" t="str">
        <x:v>J25: p266, revenue by customer geography</x:v>
      </x:c>
    </x:row>
    <x:row r="68" ht="22" customHeight="1">
      <x:c r="A68" s="2"/>
      <x:c r="B68" s="2"/>
      <x:c r="C68" s="3"/>
      <x:c r="D68" s="3"/>
      <x:c r="E68" s="3"/>
      <x:c r="F68" s="3"/>
      <x:c r="G68" s="3"/>
      <x:c r="H68" s="2"/>
      <x:c r="I68" s="2"/>
      <x:c r="J68" s="2"/>
    </x:row>
    <x:row r="69" ht="25" customHeight="1">
      <x:c r="A69" s="2"/>
      <x:c r="B69" s="17" t="str">
        <x:v>SOURCE REGISTER — PRINTED REPORT PAGE NUMBERS</x:v>
      </x:c>
      <x:c r="C69" s="18"/>
      <x:c r="D69" s="18"/>
      <x:c r="E69" s="18"/>
      <x:c r="F69" s="18"/>
      <x:c r="G69" s="18"/>
      <x:c r="H69" s="2"/>
      <x:c r="I69" s="2"/>
      <x:c r="J69" s="2"/>
    </x:row>
    <x:row r="70" ht="42" customHeight="1">
      <x:c r="A70" s="2"/>
      <x:c r="B70" s="8" t="str">
        <x:v>J21 — FY21 annual report. FY21: BS p132; P&amp;L p133; CF pp134–135; EPS p173; leases p174.</x:v>
      </x:c>
      <x:c r="C70" s="9"/>
      <x:c r="D70" s="9"/>
      <x:c r="E70" s="9"/>
      <x:c r="F70" s="9"/>
      <x:c r="G70" s="9"/>
      <x:c r="H70" s="2"/>
      <x:c r="I70" s="2"/>
      <x:c r="J70" s="2"/>
    </x:row>
    <x:row r="71" ht="36" customHeight="1">
      <x:c r="A71" s="2"/>
      <x:c r="B71" s="8" t="str">
        <x:v>https://jbpharma.com/download/annual-report-of-2020-21/?wpdmdl=3366</x:v>
      </x:c>
      <x:c r="C71" s="9"/>
      <x:c r="D71" s="9"/>
      <x:c r="E71" s="9"/>
      <x:c r="F71" s="9"/>
      <x:c r="G71" s="9"/>
      <x:c r="H71" s="2"/>
      <x:c r="I71" s="2"/>
      <x:c r="J71" s="2"/>
    </x:row>
    <x:row r="72" ht="42" customHeight="1">
      <x:c r="A72" s="2"/>
      <x:c r="B72" s="8" t="str">
        <x:v>J23 — FY23 annual report. FY22/FY23: BS p174; P&amp;L p175; CF pp176–177; EPS p224.</x:v>
      </x:c>
      <x:c r="C72" s="9"/>
      <x:c r="D72" s="9"/>
      <x:c r="E72" s="9"/>
      <x:c r="F72" s="9"/>
      <x:c r="G72" s="9"/>
      <x:c r="H72" s="2"/>
      <x:c r="I72" s="2"/>
      <x:c r="J72" s="2"/>
    </x:row>
    <x:row r="73" ht="36" customHeight="1">
      <x:c r="A73" s="2"/>
      <x:c r="B73" s="8" t="str">
        <x:v>https://jbpharma.com/download/fy23-annual-report/?wpdmdl=8015</x:v>
      </x:c>
      <x:c r="C73" s="9"/>
      <x:c r="D73" s="9"/>
      <x:c r="E73" s="9"/>
      <x:c r="F73" s="9"/>
      <x:c r="G73" s="9"/>
      <x:c r="H73" s="2"/>
      <x:c r="I73" s="2"/>
      <x:c r="J73" s="2"/>
    </x:row>
    <x:row r="74" ht="42" customHeight="1">
      <x:c r="A74" s="2"/>
      <x:c r="B74" s="8" t="str">
        <x:v>J25 — FY25 annual report. FY24/FY25: BS p216; P&amp;L p217; CF pp218–219; EPS p269; India p266.</x:v>
      </x:c>
      <x:c r="C74" s="9"/>
      <x:c r="D74" s="9"/>
      <x:c r="E74" s="9"/>
      <x:c r="F74" s="9"/>
      <x:c r="G74" s="9"/>
      <x:c r="H74" s="2"/>
      <x:c r="I74" s="2"/>
      <x:c r="J74" s="2"/>
    </x:row>
    <x:row r="75" ht="36" customHeight="1">
      <x:c r="A75" s="2"/>
      <x:c r="B75" s="8" t="str">
        <x:v>https://jbpharma.com/download/fy25-annual-report/?wpdmdl=10520</x:v>
      </x:c>
      <x:c r="C75" s="9"/>
      <x:c r="D75" s="9"/>
      <x:c r="E75" s="9"/>
      <x:c r="F75" s="9"/>
      <x:c r="G75" s="9"/>
      <x:c r="H75" s="2"/>
      <x:c r="I75" s="2"/>
      <x:c r="J75" s="2"/>
    </x:row>
    <x:row r="76" ht="52" customHeight="1">
      <x:c r="A76" s="2"/>
      <x:c r="B76" s="8" t="str">
        <x:v>* Current investments use the reported current-investment balance; FY21 includes equity / hybrid funds. This is a market-value cash proxy, not a claim of unrestricted cash availability.</x:v>
      </x:c>
      <x:c r="C76" s="9"/>
      <x:c r="D76" s="9"/>
      <x:c r="E76" s="9"/>
      <x:c r="F76" s="9"/>
      <x:c r="G76" s="9"/>
      <x:c r="H76" s="2"/>
      <x:c r="I76" s="2"/>
      <x:c r="J76" s="2"/>
    </x:row>
    <x:row r="77" ht="48" customHeight="1">
      <x:c r="A77" s="2"/>
      <x:c r="B77" s="8" t="str">
        <x:v>FY22–FY23 intangible payments include major acquired brands. FY21 capex has no separate intangible line. FY21 cash-flow cash is net of INR 621.18 lakh bank overdraft.</x:v>
      </x:c>
      <x:c r="C77" s="9"/>
      <x:c r="D77" s="9"/>
      <x:c r="E77" s="9"/>
      <x:c r="F77" s="9"/>
      <x:c r="G77" s="9"/>
      <x:c r="H77" s="2"/>
      <x:c r="I77" s="2"/>
      <x:c r="J77" s="2"/>
    </x:row>
    <x:row r="78" ht="42" customHeight="1">
      <x:c r="A78" s="2"/>
      <x:c r="B78" s="8" t="str">
        <x:v>FY25 annual reports were published after 29 June 2025; they are used to reconcile historical statements approved in May 2025. No FY26 outcomes enter this workbook.</x:v>
      </x:c>
      <x:c r="C78" s="9"/>
      <x:c r="D78" s="9"/>
      <x:c r="E78" s="9"/>
      <x:c r="F78" s="9"/>
      <x:c r="G78" s="9"/>
      <x:c r="H78" s="2"/>
      <x:c r="I78" s="2"/>
      <x:c r="J78" s="2"/>
    </x:row>
    <x:row r="79" ht="45" customHeight="1">
      <x:c r="A79" s="2"/>
      <x:c r="B79" s="8" t="str">
        <x:v>Additional cash-definition reference: J25, printed p243 note 9, non-current deposits INR 25,040.85 lakh; printed p246, other bank balances INR 1,435.79 lakh. These are excluded from the net-debt formula.</x:v>
      </x:c>
      <x:c r="C79" s="9"/>
      <x:c r="D79" s="9"/>
      <x:c r="E79" s="9"/>
      <x:c r="F79" s="9"/>
      <x:c r="G79" s="9"/>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2" customHeight="1">
      <x:c r="A82" s="2"/>
      <x:c r="B82" s="2"/>
      <x:c r="C82" s="3"/>
      <x:c r="D82" s="3"/>
      <x:c r="E82" s="3"/>
      <x:c r="F82" s="3"/>
      <x:c r="G82" s="3"/>
      <x:c r="H82" s="2"/>
      <x:c r="I82" s="2"/>
      <x:c r="J82" s="2"/>
    </x:row>
    <x:row r="83" ht="22" customHeight="1">
      <x:c r="A83" s="2"/>
      <x:c r="B83" s="2"/>
      <x:c r="C83" s="3"/>
      <x:c r="D83" s="3"/>
      <x:c r="E83" s="3"/>
      <x:c r="F83" s="3"/>
      <x:c r="G83" s="3"/>
      <x:c r="H83" s="2"/>
      <x:c r="I83" s="2"/>
      <x:c r="J83" s="2"/>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row r="86" ht="22" customHeight="1">
      <x:c r="A86" s="2"/>
      <x:c r="B86" s="2"/>
      <x:c r="C86" s="3"/>
      <x:c r="D86" s="3"/>
      <x:c r="E86" s="3"/>
      <x:c r="F86" s="3"/>
      <x:c r="G86" s="3"/>
      <x:c r="H86" s="2"/>
      <x:c r="I86" s="2"/>
      <x:c r="J86" s="2"/>
    </x:row>
    <x:row r="87" ht="22" customHeight="1">
      <x:c r="A87" s="2"/>
      <x:c r="B87" s="2"/>
      <x:c r="C87" s="3"/>
      <x:c r="D87" s="3"/>
      <x:c r="E87" s="3"/>
      <x:c r="F87" s="3"/>
      <x:c r="G87" s="3"/>
      <x:c r="H87" s="2"/>
      <x:c r="I87" s="2"/>
      <x:c r="J87" s="2"/>
    </x:row>
    <x:row r="88" ht="22" customHeight="1">
      <x:c r="A88" s="2"/>
      <x:c r="B88" s="2"/>
      <x:c r="C88" s="3"/>
      <x:c r="D88" s="3"/>
      <x:c r="E88" s="3"/>
      <x:c r="F88" s="3"/>
      <x:c r="G88" s="3"/>
      <x:c r="H88" s="2"/>
      <x:c r="I88" s="2"/>
      <x:c r="J88" s="2"/>
    </x:row>
    <x:row r="89" ht="22" customHeight="1">
      <x:c r="A89" s="2"/>
      <x:c r="B89" s="2"/>
      <x:c r="C89" s="3"/>
      <x:c r="D89" s="3"/>
      <x:c r="E89" s="3"/>
      <x:c r="F89" s="3"/>
      <x:c r="G89" s="3"/>
      <x:c r="H89" s="2"/>
      <x:c r="I89" s="2"/>
      <x:c r="J89" s="2"/>
    </x:row>
    <x:row r="90" ht="22" customHeight="1">
      <x:c r="A90" s="2"/>
      <x:c r="B90" s="2"/>
      <x:c r="C90" s="3"/>
      <x:c r="D90" s="3"/>
      <x:c r="E90" s="3"/>
      <x:c r="F90" s="3"/>
      <x:c r="G90" s="3"/>
      <x:c r="H90" s="2"/>
      <x:c r="I90" s="2"/>
      <x:c r="J90" s="2"/>
    </x:row>
    <x:row r="91" ht="22" customHeight="1">
      <x:c r="A91" s="2"/>
      <x:c r="B91" s="2"/>
      <x:c r="C91" s="3"/>
      <x:c r="D91" s="3"/>
      <x:c r="E91" s="3"/>
      <x:c r="F91" s="3"/>
      <x:c r="G91" s="3"/>
      <x:c r="H91" s="2"/>
      <x:c r="I91" s="2"/>
      <x:c r="J91" s="2"/>
    </x:row>
    <x:row r="92" ht="22" customHeight="1">
      <x:c r="A92" s="2"/>
      <x:c r="B92" s="2"/>
      <x:c r="C92" s="3"/>
      <x:c r="D92" s="3"/>
      <x:c r="E92" s="3"/>
      <x:c r="F92" s="3"/>
      <x:c r="G92" s="3"/>
      <x:c r="H92" s="2"/>
      <x:c r="I92" s="2"/>
      <x:c r="J92" s="2"/>
    </x:row>
    <x:row r="93" ht="22" customHeight="1">
      <x:c r="A93" s="2"/>
      <x:c r="B93" s="2"/>
      <x:c r="C93" s="3"/>
      <x:c r="D93" s="3"/>
      <x:c r="E93" s="3"/>
      <x:c r="F93" s="3"/>
      <x:c r="G93" s="3"/>
      <x:c r="H93" s="2"/>
      <x:c r="I93" s="2"/>
      <x:c r="J93" s="2"/>
    </x:row>
    <x:row r="94" ht="22" customHeight="1">
      <x:c r="A94" s="2"/>
      <x:c r="B94" s="2"/>
      <x:c r="C94" s="3"/>
      <x:c r="D94" s="3"/>
      <x:c r="E94" s="3"/>
      <x:c r="F94" s="3"/>
      <x:c r="G94" s="3"/>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row r="101" ht="22" customHeight="1">
      <x:c r="A101" s="2"/>
      <x:c r="B101" s="2"/>
      <x:c r="C101" s="3"/>
      <x:c r="D101" s="3"/>
      <x:c r="E101" s="3"/>
      <x:c r="F101" s="3"/>
      <x:c r="G101" s="3"/>
      <x:c r="H101" s="2"/>
      <x:c r="I101" s="2"/>
      <x:c r="J101" s="2"/>
    </x:row>
    <x:row r="102" ht="22" customHeight="1">
      <x:c r="A102" s="2"/>
      <x:c r="B102" s="2"/>
      <x:c r="C102" s="3"/>
      <x:c r="D102" s="3"/>
      <x:c r="E102" s="3"/>
      <x:c r="F102" s="3"/>
      <x:c r="G102" s="3"/>
      <x:c r="H102" s="2"/>
      <x:c r="I102" s="2"/>
      <x:c r="J102" s="2"/>
    </x:row>
    <x:row r="103" ht="22" customHeight="1">
      <x:c r="A103" s="2"/>
      <x:c r="B103" s="2"/>
      <x:c r="C103" s="3"/>
      <x:c r="D103" s="3"/>
      <x:c r="E103" s="3"/>
      <x:c r="F103" s="3"/>
      <x:c r="G103" s="3"/>
      <x:c r="H103" s="2"/>
      <x:c r="I103" s="2"/>
      <x:c r="J103" s="2"/>
    </x:row>
    <x:row r="104" ht="22" customHeight="1">
      <x:c r="A104" s="2"/>
      <x:c r="B104" s="2"/>
      <x:c r="C104" s="3"/>
      <x:c r="D104" s="3"/>
      <x:c r="E104" s="3"/>
      <x:c r="F104" s="3"/>
      <x:c r="G104" s="3"/>
      <x:c r="H104" s="2"/>
      <x:c r="I104" s="2"/>
      <x:c r="J104" s="2"/>
    </x:row>
    <x:row r="105" ht="22" customHeight="1">
      <x:c r="A105" s="2"/>
      <x:c r="B105" s="2"/>
      <x:c r="C105" s="3"/>
      <x:c r="D105" s="3"/>
      <x:c r="E105" s="3"/>
      <x:c r="F105" s="3"/>
      <x:c r="G105" s="3"/>
      <x:c r="H105" s="2"/>
      <x:c r="I105" s="2"/>
      <x:c r="J105" s="2"/>
    </x:row>
  </x:sheetData>
  <x:mergeCells>
    <x:mergeCell ref="B2:G2"/>
    <x:mergeCell ref="B3:G3"/>
    <x:mergeCell ref="B6:G6"/>
    <x:mergeCell ref="B23:G23"/>
    <x:mergeCell ref="B41:G41"/>
    <x:mergeCell ref="B54:G54"/>
    <x:mergeCell ref="B63:G63"/>
    <x:mergeCell ref="B69:G69"/>
    <x:mergeCell ref="B70:G70"/>
    <x:mergeCell ref="B71:G71"/>
    <x:mergeCell ref="B72:G72"/>
    <x:mergeCell ref="B73:G73"/>
    <x:mergeCell ref="B74:G74"/>
    <x:mergeCell ref="B75:G75"/>
    <x:mergeCell ref="B76:G76"/>
    <x:mergeCell ref="B77:G77"/>
    <x:mergeCell ref="B78:G78"/>
    <x:mergeCell ref="B79:G79"/>
  </x:mergeCells>
  <x:pageMargins left="0.7" right="0.7" top="0.75" bottom="0.75" header="0.3" footer="0.3"/>
</x:worksheet>
</file>

<file path=xl/worksheets/sheet6.xml><?xml version="1.0" encoding="utf-8"?>
<x:worksheet xmlns:x="http://schemas.openxmlformats.org/spreadsheetml/2006/main">
  <x:sheetPr>
    <x:tabColor rgb="FF142D46"/>
  </x:sheetPr>
  <x:sheetViews>
    <x:sheetView showGridLines="0" workbookViewId="0"/>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x:row>
    <x:row r="2" ht="38" customHeight="1">
      <x:c r="A2" s="2"/>
      <x:c r="B2" s="4" t="str">
        <x:v>Walkthrough | from history to forecast</x:v>
      </x:c>
      <x:c r="C2" s="5"/>
      <x:c r="D2" s="5"/>
      <x:c r="E2" s="5"/>
      <x:c r="F2" s="5"/>
      <x:c r="G2" s="5"/>
      <x:c r="H2" s="2"/>
      <x:c r="I2" s="2"/>
      <x:c r="J2" s="2"/>
    </x:row>
    <x:row r="3" ht="30" customHeight="1">
      <x:c r="A3" s="2"/>
      <x:c r="B3" s="8" t="str">
        <x:v>How to use the workbook • Definitions, adjustments and next modelling decisions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x:c r="D5" s="13"/>
      <x:c r="E5" s="13"/>
      <x:c r="F5" s="13"/>
      <x:c r="G5" s="13"/>
      <x:c r="H5" s="2"/>
      <x:c r="I5" s="2"/>
      <x:c r="J5" s="2"/>
    </x:row>
    <x:row r="6" ht="25" customHeight="1">
      <x:c r="A6" s="2"/>
      <x:c r="B6" s="17" t="str">
        <x:v>1  Read the summary</x:v>
      </x:c>
      <x:c r="C6" s="18"/>
      <x:c r="D6" s="18"/>
      <x:c r="E6" s="18"/>
      <x:c r="F6" s="18"/>
      <x:c r="G6" s="18"/>
      <x:c r="H6" s="2"/>
      <x:c r="I6" s="2"/>
      <x:c r="J6" s="2"/>
    </x:row>
    <x:row r="7" ht="68" customHeight="1">
      <x:c r="A7" s="2"/>
      <x:c r="B7" s="8" t="str">
        <x:v>Summary compares five years of revenue, profitability, cash generation, debt and EPS. Use the FY25 snapshot as the starting point, then inspect the direction and consistency of the historical results.</x:v>
      </x:c>
      <x:c r="C7" s="9"/>
      <x:c r="D7" s="9"/>
      <x:c r="E7" s="9"/>
      <x:c r="F7" s="9"/>
      <x:c r="G7" s="9"/>
      <x:c r="H7" s="2"/>
      <x:c r="I7" s="2"/>
      <x:c r="J7" s="2"/>
    </x:row>
    <x:row r="8" ht="22" customHeight="1">
      <x:c r="A8" s="2"/>
      <x:c r="B8" s="2"/>
      <x:c r="C8" s="3"/>
      <x:c r="D8" s="3"/>
      <x:c r="E8" s="3"/>
      <x:c r="F8" s="3"/>
      <x:c r="G8" s="3"/>
      <x:c r="H8" s="2"/>
      <x:c r="I8" s="2"/>
      <x:c r="J8" s="2"/>
    </x:row>
    <x:row r="9" ht="25" customHeight="1">
      <x:c r="A9" s="2"/>
      <x:c r="B9" s="17" t="str">
        <x:v>2  Trace a figure to its source</x:v>
      </x:c>
      <x:c r="C9" s="18"/>
      <x:c r="D9" s="18"/>
      <x:c r="E9" s="18"/>
      <x:c r="F9" s="18"/>
      <x:c r="G9" s="18"/>
      <x:c r="H9" s="2"/>
      <x:c r="I9" s="2"/>
      <x:c r="J9" s="2"/>
    </x:row>
    <x:row r="10" ht="68" customHeight="1">
      <x:c r="A10" s="2"/>
      <x:c r="B10" s="8" t="str">
        <x:v>The history tabs contain formulas; the input tabs contain blue source figures and a report register with page references. Green formulas link between tabs, black formulas calculate within a tab. Input amounts are crore for Torrent and lakh for JB; the latter are divided by 100.</x:v>
      </x:c>
      <x:c r="C10" s="9"/>
      <x:c r="D10" s="9"/>
      <x:c r="E10" s="9"/>
      <x:c r="F10" s="9"/>
      <x:c r="G10" s="9"/>
      <x:c r="H10" s="2"/>
      <x:c r="I10" s="2"/>
      <x:c r="J10" s="2"/>
    </x:row>
    <x:row r="11" ht="22" customHeight="1">
      <x:c r="A11" s="2"/>
      <x:c r="B11" s="2"/>
      <x:c r="C11" s="3"/>
      <x:c r="D11" s="3"/>
      <x:c r="E11" s="3"/>
      <x:c r="F11" s="3"/>
      <x:c r="G11" s="3"/>
      <x:c r="H11" s="2"/>
      <x:c r="I11" s="2"/>
      <x:c r="J11" s="2"/>
    </x:row>
    <x:row r="12" ht="25" customHeight="1">
      <x:c r="A12" s="2"/>
      <x:c r="B12" s="17" t="str">
        <x:v>3  Understand EBITDA</x:v>
      </x:c>
      <x:c r="C12" s="18"/>
      <x:c r="D12" s="18"/>
      <x:c r="E12" s="18"/>
      <x:c r="F12" s="18"/>
      <x:c r="G12" s="18"/>
      <x:c r="H12" s="2"/>
      <x:c r="I12" s="2"/>
      <x:c r="J12" s="2"/>
    </x:row>
    <x:row r="13" ht="68" customHeight="1">
      <x:c r="A13" s="2"/>
      <x:c r="B13" s="8" t="str">
        <x:v>Revenue minus COGS, employee expense and other operating expenses gives operating EBITDA. It excludes other income. JB’s before-ESOP EBITDA adds back share-based compensation; FY25 is about INR 1,086.7 crore, versus INR 1,031.8 crore after ESOP. Retain both when comparing management’s presentation with earnings attributable to shareholders.</x:v>
      </x:c>
      <x:c r="C13" s="9"/>
      <x:c r="D13" s="9"/>
      <x:c r="E13" s="9"/>
      <x:c r="F13" s="9"/>
      <x:c r="G13" s="9"/>
      <x:c r="H13" s="2"/>
      <x:c r="I13" s="2"/>
      <x:c r="J13" s="2"/>
    </x:row>
    <x:row r="14" ht="22" customHeight="1">
      <x:c r="A14" s="2"/>
      <x:c r="B14" s="2"/>
      <x:c r="C14" s="3"/>
      <x:c r="D14" s="3"/>
      <x:c r="E14" s="3"/>
      <x:c r="F14" s="3"/>
      <x:c r="G14" s="3"/>
      <x:c r="H14" s="2"/>
      <x:c r="I14" s="2"/>
      <x:c r="J14" s="2"/>
    </x:row>
    <x:row r="15" ht="25" customHeight="1">
      <x:c r="A15" s="2"/>
      <x:c r="B15" s="17" t="str">
        <x:v>4  Read the cash-flow bridge</x:v>
      </x:c>
      <x:c r="C15" s="18"/>
      <x:c r="D15" s="18"/>
      <x:c r="E15" s="18"/>
      <x:c r="F15" s="18"/>
      <x:c r="G15" s="18"/>
      <x:c r="H15" s="2"/>
      <x:c r="I15" s="2"/>
      <x:c r="J15" s="2"/>
    </x:row>
    <x:row r="16" ht="68" customHeight="1">
      <x:c r="A16" s="2"/>
      <x:c r="B16" s="8" t="str">
        <x:v>Operating cash flow minus cash purchases of PPE and intangibles gives cash flow after capex. Business purchases are deducted separately. These figures are after cash taxes and reflect the cash-flow statement’s interest classification; they are not unlevered free cash flow for a DCF.</x:v>
      </x:c>
      <x:c r="C16" s="9"/>
      <x:c r="D16" s="9"/>
      <x:c r="E16" s="9"/>
      <x:c r="F16" s="9"/>
      <x:c r="G16" s="9"/>
      <x:c r="H16" s="2"/>
      <x:c r="I16" s="2"/>
      <x:c r="J16" s="2"/>
    </x:row>
    <x:row r="17" ht="22" customHeight="1">
      <x:c r="A17" s="2"/>
      <x:c r="B17" s="2"/>
      <x:c r="C17" s="3"/>
      <x:c r="D17" s="3"/>
      <x:c r="E17" s="3"/>
      <x:c r="F17" s="3"/>
      <x:c r="G17" s="3"/>
      <x:c r="H17" s="2"/>
      <x:c r="I17" s="2"/>
      <x:c r="J17" s="2"/>
    </x:row>
    <x:row r="18" ht="25" customHeight="1">
      <x:c r="A18" s="2"/>
      <x:c r="B18" s="17" t="str">
        <x:v>5  Separate brand investment from recurring capex</x:v>
      </x:c>
      <x:c r="C18" s="18"/>
      <x:c r="D18" s="18"/>
      <x:c r="E18" s="18"/>
      <x:c r="F18" s="18"/>
      <x:c r="G18" s="18"/>
      <x:c r="H18" s="2"/>
      <x:c r="I18" s="2"/>
      <x:c r="J18" s="2"/>
    </x:row>
    <x:row r="19" ht="68" customHeight="1">
      <x:c r="A19" s="2"/>
      <x:c r="B19" s="8" t="str">
        <x:v>JB’s FY22 and FY23 intangible payments were about INR 643.9 crore and INR 692.4 crore. They include acquired brands and should not be extrapolated wholesale as maintenance capex. Torrent’s capex line combines PPE and intangibles; the separate intangible line is zero to avoid duplication. Curatio is a separate FY23 business payment.</x:v>
      </x:c>
      <x:c r="C19" s="9"/>
      <x:c r="D19" s="9"/>
      <x:c r="E19" s="9"/>
      <x:c r="F19" s="9"/>
      <x:c r="G19" s="9"/>
      <x:c r="H19" s="2"/>
      <x:c r="I19" s="2"/>
      <x:c r="J19" s="2"/>
    </x:row>
    <x:row r="20" ht="22" customHeight="1">
      <x:c r="A20" s="2"/>
      <x:c r="B20" s="2"/>
      <x:c r="C20" s="3"/>
      <x:c r="D20" s="3"/>
      <x:c r="E20" s="3"/>
      <x:c r="F20" s="3"/>
      <x:c r="G20" s="3"/>
      <x:c r="H20" s="2"/>
      <x:c r="I20" s="2"/>
      <x:c r="J20" s="2"/>
    </x:row>
    <x:row r="21" ht="25" customHeight="1">
      <x:c r="A21" s="2"/>
      <x:c r="B21" s="17" t="str">
        <x:v>6  Use a consistent debt definition</x:v>
      </x:c>
      <x:c r="C21" s="18"/>
      <x:c r="D21" s="18"/>
      <x:c r="E21" s="18"/>
      <x:c r="F21" s="18"/>
      <x:c r="G21" s="18"/>
      <x:c r="H21" s="2"/>
      <x:c r="I21" s="2"/>
      <x:c r="J21" s="2"/>
    </x:row>
    <x:row r="22" ht="68" customHeight="1">
      <x:c r="A22" s="2"/>
      <x:c r="B22" s="8" t="str">
        <x:v>Net debt here equals borrowings less cash and selected current financial investments; lease liabilities are shown separately. Other bank balances and non-current deposits are excluded. JB FY25 includes INR 250.4 crore of non-current deposits and INR 14.4 crore of other bank balances outside this measure; restrictions and other adjustments must be checked before a transaction cash bridge.</x:v>
      </x:c>
      <x:c r="C22" s="9"/>
      <x:c r="D22" s="9"/>
      <x:c r="E22" s="9"/>
      <x:c r="F22" s="9"/>
      <x:c r="G22" s="9"/>
      <x:c r="H22" s="2"/>
      <x:c r="I22" s="2"/>
      <x:c r="J22" s="2"/>
    </x:row>
    <x:row r="23" ht="22" customHeight="1">
      <x:c r="A23" s="2"/>
      <x:c r="B23" s="2"/>
      <x:c r="C23" s="3"/>
      <x:c r="D23" s="3"/>
      <x:c r="E23" s="3"/>
      <x:c r="F23" s="3"/>
      <x:c r="G23" s="3"/>
      <x:c r="H23" s="2"/>
      <x:c r="I23" s="2"/>
      <x:c r="J23" s="2"/>
    </x:row>
    <x:row r="24" ht="25" customHeight="1">
      <x:c r="A24" s="2"/>
      <x:c r="B24" s="17" t="str">
        <x:v>7  Check shares and per-share earnings</x:v>
      </x:c>
      <x:c r="C24" s="18"/>
      <x:c r="D24" s="18"/>
      <x:c r="E24" s="18"/>
      <x:c r="F24" s="18"/>
      <x:c r="G24" s="18"/>
      <x:c r="H24" s="2"/>
      <x:c r="I24" s="2"/>
      <x:c r="J24" s="2"/>
    </x:row>
    <x:row r="25" ht="68" customHeight="1">
      <x:c r="A25" s="2"/>
      <x:c r="B25" s="8" t="str">
        <x:v>Torrent’s 1:1 bonus and JB’s 1:2 share split are reflected in FY25-basis share counts. FY22 Torrent weighted-average shares are already restated in the FY23 report, while closing shares still require adjustment. EPS uses PAT attributable to owners divided by weighted-average shares, not the year-end count.</x:v>
      </x:c>
      <x:c r="C25" s="9"/>
      <x:c r="D25" s="9"/>
      <x:c r="E25" s="9"/>
      <x:c r="F25" s="9"/>
      <x:c r="G25" s="9"/>
      <x:c r="H25" s="2"/>
      <x:c r="I25" s="2"/>
      <x:c r="J25" s="2"/>
    </x:row>
    <x:row r="26" ht="22" customHeight="1">
      <x:c r="A26" s="2"/>
      <x:c r="B26" s="2"/>
      <x:c r="C26" s="3"/>
      <x:c r="D26" s="3"/>
      <x:c r="E26" s="3"/>
      <x:c r="F26" s="3"/>
      <x:c r="G26" s="3"/>
      <x:c r="H26" s="2"/>
      <x:c r="I26" s="2"/>
      <x:c r="J26" s="2"/>
    </x:row>
    <x:row r="27" ht="25" customHeight="1">
      <x:c r="A27" s="2"/>
      <x:c r="B27" s="17" t="str">
        <x:v>8  Interpret working capital</x:v>
      </x:c>
      <x:c r="C27" s="18"/>
      <x:c r="D27" s="18"/>
      <x:c r="E27" s="18"/>
      <x:c r="F27" s="18"/>
      <x:c r="G27" s="18"/>
      <x:c r="H27" s="2"/>
      <x:c r="I27" s="2"/>
      <x:c r="J27" s="2"/>
    </x:row>
    <x:row r="28" ht="68" customHeight="1">
      <x:c r="A28" s="2"/>
      <x:c r="B28" s="8" t="str">
        <x:v>Trade working capital = inventories + trade receivables − trade payables. Receivable days use revenue; inventory and payable days use a material-cost COGS proxy that excludes labour and production overheads. All use closing balances and 365 days. Seasonality and acquisitions can distort comparisons; forecasts may need additional operating assets and liabilities.</x:v>
      </x:c>
      <x:c r="C28" s="9"/>
      <x:c r="D28" s="9"/>
      <x:c r="E28" s="9"/>
      <x:c r="F28" s="9"/>
      <x:c r="G28" s="9"/>
      <x:c r="H28" s="2"/>
      <x:c r="I28" s="2"/>
      <x:c r="J28" s="2"/>
    </x:row>
    <x:row r="29" ht="22" customHeight="1">
      <x:c r="A29" s="2"/>
      <x:c r="B29" s="2"/>
      <x:c r="C29" s="3"/>
      <x:c r="D29" s="3"/>
      <x:c r="E29" s="3"/>
      <x:c r="F29" s="3"/>
      <x:c r="G29" s="3"/>
      <x:c r="H29" s="2"/>
      <x:c r="I29" s="2"/>
      <x:c r="J29" s="2"/>
    </x:row>
    <x:row r="30" ht="25" customHeight="1">
      <x:c r="A30" s="2"/>
      <x:c r="B30" s="17" t="str">
        <x:v>9  Keep the case date intact</x:v>
      </x:c>
      <x:c r="C30" s="18"/>
      <x:c r="D30" s="18"/>
      <x:c r="E30" s="18"/>
      <x:c r="F30" s="18"/>
      <x:c r="G30" s="18"/>
      <x:c r="H30" s="2"/>
      <x:c r="I30" s="2"/>
      <x:c r="J30" s="2"/>
    </x:row>
    <x:row r="31" ht="68" customHeight="1">
      <x:c r="A31" s="2"/>
      <x:c r="B31" s="8" t="str">
        <x:v>This is a pre-deal historical baseline anchored to 29 June 2025. FY25 statements were approved in May 2025; later annual reports reconcile historical disclosures. Later deal outcomes and FY26 operating performance are excluded. The companies are modelled on a consolidated, pre-merger basis.</x:v>
      </x:c>
      <x:c r="C31" s="9"/>
      <x:c r="D31" s="9"/>
      <x:c r="E31" s="9"/>
      <x:c r="F31" s="9"/>
      <x:c r="G31" s="9"/>
      <x:c r="H31" s="2"/>
      <x:c r="I31" s="2"/>
      <x:c r="J31" s="2"/>
    </x:row>
    <x:row r="32" ht="22" customHeight="1">
      <x:c r="A32" s="2"/>
      <x:c r="B32" s="2"/>
      <x:c r="C32" s="3"/>
      <x:c r="D32" s="3"/>
      <x:c r="E32" s="3"/>
      <x:c r="F32" s="3"/>
      <x:c r="G32" s="3"/>
      <x:c r="H32" s="2"/>
      <x:c r="I32" s="2"/>
      <x:c r="J32" s="2"/>
    </x:row>
    <x:row r="33" ht="25" customHeight="1">
      <x:c r="A33" s="2"/>
      <x:c r="B33" s="17" t="str">
        <x:v>10  Understand the checks</x:v>
      </x:c>
      <x:c r="C33" s="18"/>
      <x:c r="D33" s="18"/>
      <x:c r="E33" s="18"/>
      <x:c r="F33" s="18"/>
      <x:c r="G33" s="18"/>
      <x:c r="H33" s="2"/>
      <x:c r="I33" s="2"/>
      <x:c r="J33" s="2"/>
    </x:row>
    <x:row r="34" ht="68" customHeight="1">
      <x:c r="A34" s="2"/>
      <x:c r="B34" s="8" t="str">
        <x:v>Each history tab reconciles PBT, PAT, the balance sheet, the cash-flow bridge, balance-sheet cash and EPS. PASS permits source rounding of under INR 0.02 crore and INR 0.01 per share. FY21 JB cash-flow cash is net of overdraft; the separate bridge restores balance-sheet cash.</x:v>
      </x:c>
      <x:c r="C34" s="9"/>
      <x:c r="D34" s="9"/>
      <x:c r="E34" s="9"/>
      <x:c r="F34" s="9"/>
      <x:c r="G34" s="9"/>
      <x:c r="H34" s="2"/>
      <x:c r="I34" s="2"/>
      <x:c r="J34" s="2"/>
    </x:row>
    <x:row r="35" ht="22" customHeight="1">
      <x:c r="A35" s="2"/>
      <x:c r="B35" s="2"/>
      <x:c r="C35" s="3"/>
      <x:c r="D35" s="3"/>
      <x:c r="E35" s="3"/>
      <x:c r="F35" s="3"/>
      <x:c r="G35" s="3"/>
      <x:c r="H35" s="2"/>
      <x:c r="I35" s="2"/>
      <x:c r="J35" s="2"/>
    </x:row>
    <x:row r="36" ht="25" customHeight="1">
      <x:c r="A36" s="2"/>
      <x:c r="B36" s="17" t="str">
        <x:v>11  Build Step 3 from this base</x:v>
      </x:c>
      <x:c r="C36" s="18"/>
      <x:c r="D36" s="18"/>
      <x:c r="E36" s="18"/>
      <x:c r="F36" s="18"/>
      <x:c r="G36" s="18"/>
      <x:c r="H36" s="2"/>
      <x:c r="I36" s="2"/>
      <x:c r="J36" s="2"/>
    </x:row>
    <x:row r="37" ht="68" customHeight="1">
      <x:c r="A37" s="2"/>
      <x:c r="B37" s="8" t="str">
        <x:v>Next, forecast each business independently: revenue growth by business, EBITDA margins, D&amp;A, tax, recurring capex and operating working capital. Then add transaction funding, open-offer take-up, cash/share consideration, synergies, purchase-price accounting, EPS accretion and valuation sensitivities. These assumptions are not embedded in the historical workbook.</x:v>
      </x:c>
      <x:c r="C37" s="9"/>
      <x:c r="D37" s="9"/>
      <x:c r="E37" s="9"/>
      <x:c r="F37" s="9"/>
      <x:c r="G37" s="9"/>
      <x:c r="H37" s="2"/>
      <x:c r="I37" s="2"/>
      <x:c r="J37" s="2"/>
    </x:row>
    <x:row r="38" ht="22" customHeight="1">
      <x:c r="A38" s="2"/>
      <x:c r="B38" s="2"/>
      <x:c r="C38" s="3"/>
      <x:c r="D38" s="3"/>
      <x:c r="E38" s="3"/>
      <x:c r="F38" s="3"/>
      <x:c r="G38" s="3"/>
      <x:c r="H38" s="2"/>
      <x:c r="I38" s="2"/>
      <x:c r="J38" s="2"/>
    </x:row>
    <x:row r="39" ht="25" customHeight="1">
      <x:c r="A39" s="2"/>
      <x:c r="B39" s="17" t="str">
        <x:v>Repository use</x:v>
      </x:c>
      <x:c r="C39" s="18"/>
      <x:c r="D39" s="18"/>
      <x:c r="E39" s="18"/>
      <x:c r="F39" s="18"/>
      <x:c r="G39" s="18"/>
      <x:c r="H39" s="2"/>
      <x:c r="I39" s="2"/>
      <x:c r="J39" s="2"/>
    </x:row>
    <x:row r="40" ht="68" customHeight="1">
      <x:c r="A40" s="2"/>
      <x:c r="B40" s="8" t="str">
        <x:v>Upload the .xlsx alongside the research pack. It contains no macros and no external workbook links; sources are public report URLs. Native charts and formulas remain editable. Treat the input tabs as the factual record and preserve this historical version when adding forecast assumptions.</x:v>
      </x:c>
      <x:c r="C40" s="9"/>
      <x:c r="D40" s="9"/>
      <x:c r="E40" s="9"/>
      <x:c r="F40" s="9"/>
      <x:c r="G40" s="9"/>
      <x:c r="H40" s="2"/>
      <x:c r="I40" s="2"/>
      <x:c r="J40" s="2"/>
    </x:row>
    <x:row r="41" ht="22" customHeight="1">
      <x:c r="A41" s="2"/>
      <x:c r="B41" s="2"/>
      <x:c r="C41" s="3"/>
      <x:c r="D41" s="3"/>
      <x:c r="E41" s="3"/>
      <x:c r="F41" s="3"/>
      <x:c r="G41" s="3"/>
      <x:c r="H41" s="2"/>
      <x:c r="I41" s="2"/>
      <x:c r="J41" s="2"/>
    </x:row>
    <x:row r="42" ht="22" customHeight="1">
      <x:c r="A42" s="2"/>
      <x:c r="B42" s="2"/>
      <x:c r="C42" s="3"/>
      <x:c r="D42" s="3"/>
      <x:c r="E42" s="3"/>
      <x:c r="F42" s="3"/>
      <x:c r="G42" s="3"/>
      <x:c r="H42" s="2"/>
      <x:c r="I42" s="2"/>
      <x:c r="J42" s="2"/>
    </x:row>
    <x:row r="43" ht="22" customHeight="1">
      <x:c r="A43" s="2"/>
      <x:c r="B43" s="2"/>
      <x:c r="C43" s="3"/>
      <x:c r="D43" s="3"/>
      <x:c r="E43" s="3"/>
      <x:c r="F43" s="3"/>
      <x:c r="G43" s="3"/>
      <x:c r="H43" s="2"/>
      <x:c r="I43" s="2"/>
      <x:c r="J43" s="2"/>
    </x:row>
    <x:row r="44" ht="22" customHeight="1">
      <x:c r="A44" s="2"/>
      <x:c r="B44" s="2"/>
      <x:c r="C44" s="3"/>
      <x:c r="D44" s="3"/>
      <x:c r="E44" s="3"/>
      <x:c r="F44" s="3"/>
      <x:c r="G44" s="3"/>
      <x:c r="H44" s="2"/>
      <x:c r="I44" s="2"/>
      <x:c r="J44" s="2"/>
    </x:row>
    <x:row r="45" ht="22" customHeight="1">
      <x:c r="A45" s="2"/>
      <x:c r="B45" s="2"/>
      <x:c r="C45" s="3"/>
      <x:c r="D45" s="3"/>
      <x:c r="E45" s="3"/>
      <x:c r="F45" s="3"/>
      <x:c r="G45" s="3"/>
      <x:c r="H45" s="2"/>
      <x:c r="I45" s="2"/>
      <x:c r="J45" s="2"/>
    </x:row>
    <x:row r="46" ht="22" customHeight="1">
      <x:c r="A46" s="2"/>
      <x:c r="B46" s="2"/>
      <x:c r="C46" s="3"/>
      <x:c r="D46" s="3"/>
      <x:c r="E46" s="3"/>
      <x:c r="F46" s="3"/>
      <x:c r="G46" s="3"/>
      <x:c r="H46" s="2"/>
      <x:c r="I46" s="2"/>
      <x:c r="J46" s="2"/>
    </x:row>
    <x:row r="47" ht="22" customHeight="1">
      <x:c r="A47" s="2"/>
      <x:c r="B47" s="2"/>
      <x:c r="C47" s="3"/>
      <x:c r="D47" s="3"/>
      <x:c r="E47" s="3"/>
      <x:c r="F47" s="3"/>
      <x:c r="G47" s="3"/>
      <x:c r="H47" s="2"/>
      <x:c r="I47" s="2"/>
      <x:c r="J47" s="2"/>
    </x:row>
    <x:row r="48" ht="22" customHeight="1">
      <x:c r="A48" s="2"/>
      <x:c r="B48" s="2"/>
      <x:c r="C48" s="3"/>
      <x:c r="D48" s="3"/>
      <x:c r="E48" s="3"/>
      <x:c r="F48" s="3"/>
      <x:c r="G48" s="3"/>
      <x:c r="H48" s="2"/>
      <x:c r="I48" s="2"/>
      <x:c r="J48" s="2"/>
    </x:row>
    <x:row r="49" ht="22" customHeight="1">
      <x:c r="A49" s="2"/>
      <x:c r="B49" s="2"/>
      <x:c r="C49" s="3"/>
      <x:c r="D49" s="3"/>
      <x:c r="E49" s="3"/>
      <x:c r="F49" s="3"/>
      <x:c r="G49" s="3"/>
      <x:c r="H49" s="2"/>
      <x:c r="I49" s="2"/>
      <x:c r="J49" s="2"/>
    </x:row>
    <x:row r="50" ht="22" customHeight="1">
      <x:c r="A50" s="2"/>
      <x:c r="B50" s="2"/>
      <x:c r="C50" s="3"/>
      <x:c r="D50" s="3"/>
      <x:c r="E50" s="3"/>
      <x:c r="F50" s="3"/>
      <x:c r="G50" s="3"/>
      <x:c r="H50" s="2"/>
      <x:c r="I50" s="2"/>
      <x:c r="J50" s="2"/>
    </x:row>
    <x:row r="51" ht="22" customHeight="1">
      <x:c r="A51" s="2"/>
      <x:c r="B51" s="2"/>
      <x:c r="C51" s="3"/>
      <x:c r="D51" s="3"/>
      <x:c r="E51" s="3"/>
      <x:c r="F51" s="3"/>
      <x:c r="G51" s="3"/>
      <x:c r="H51" s="2"/>
      <x:c r="I51" s="2"/>
      <x:c r="J51" s="2"/>
    </x:row>
    <x:row r="52" ht="22" customHeight="1">
      <x:c r="A52" s="2"/>
      <x:c r="B52" s="2"/>
      <x:c r="C52" s="3"/>
      <x:c r="D52" s="3"/>
      <x:c r="E52" s="3"/>
      <x:c r="F52" s="3"/>
      <x:c r="G52" s="3"/>
      <x:c r="H52" s="2"/>
      <x:c r="I52" s="2"/>
      <x:c r="J52" s="2"/>
    </x:row>
    <x:row r="53" ht="22" customHeight="1">
      <x:c r="A53" s="2"/>
      <x:c r="B53" s="2"/>
      <x:c r="C53" s="3"/>
      <x:c r="D53" s="3"/>
      <x:c r="E53" s="3"/>
      <x:c r="F53" s="3"/>
      <x:c r="G53" s="3"/>
      <x:c r="H53" s="2"/>
      <x:c r="I53" s="2"/>
      <x:c r="J53" s="2"/>
    </x:row>
    <x:row r="54" ht="22" customHeight="1">
      <x:c r="A54" s="2"/>
      <x:c r="B54" s="2"/>
      <x:c r="C54" s="3"/>
      <x:c r="D54" s="3"/>
      <x:c r="E54" s="3"/>
      <x:c r="F54" s="3"/>
      <x:c r="G54" s="3"/>
      <x:c r="H54" s="2"/>
      <x:c r="I54" s="2"/>
      <x:c r="J54" s="2"/>
    </x:row>
    <x:row r="55" ht="22" customHeight="1">
      <x:c r="A55" s="2"/>
      <x:c r="B55" s="2"/>
      <x:c r="C55" s="3"/>
      <x:c r="D55" s="3"/>
      <x:c r="E55" s="3"/>
      <x:c r="F55" s="3"/>
      <x:c r="G55" s="3"/>
      <x:c r="H55" s="2"/>
      <x:c r="I55" s="2"/>
      <x:c r="J55" s="2"/>
    </x:row>
    <x:row r="56" ht="22" customHeight="1">
      <x:c r="A56" s="2"/>
      <x:c r="B56" s="2"/>
      <x:c r="C56" s="3"/>
      <x:c r="D56" s="3"/>
      <x:c r="E56" s="3"/>
      <x:c r="F56" s="3"/>
      <x:c r="G56" s="3"/>
      <x:c r="H56" s="2"/>
      <x:c r="I56" s="2"/>
      <x:c r="J56" s="2"/>
    </x:row>
    <x:row r="57" ht="22" customHeight="1">
      <x:c r="A57" s="2"/>
      <x:c r="B57" s="2"/>
      <x:c r="C57" s="3"/>
      <x:c r="D57" s="3"/>
      <x:c r="E57" s="3"/>
      <x:c r="F57" s="3"/>
      <x:c r="G57" s="3"/>
      <x:c r="H57" s="2"/>
      <x:c r="I57" s="2"/>
      <x:c r="J57" s="2"/>
    </x:row>
    <x:row r="58" ht="22" customHeight="1">
      <x:c r="A58" s="2"/>
      <x:c r="B58" s="2"/>
      <x:c r="C58" s="3"/>
      <x:c r="D58" s="3"/>
      <x:c r="E58" s="3"/>
      <x:c r="F58" s="3"/>
      <x:c r="G58" s="3"/>
      <x:c r="H58" s="2"/>
      <x:c r="I58" s="2"/>
      <x:c r="J58" s="2"/>
    </x:row>
    <x:row r="59" ht="22" customHeight="1">
      <x:c r="A59" s="2"/>
      <x:c r="B59" s="2"/>
      <x:c r="C59" s="3"/>
      <x:c r="D59" s="3"/>
      <x:c r="E59" s="3"/>
      <x:c r="F59" s="3"/>
      <x:c r="G59" s="3"/>
      <x:c r="H59" s="2"/>
      <x:c r="I59" s="2"/>
      <x:c r="J59" s="2"/>
    </x:row>
    <x:row r="60" ht="22" customHeight="1">
      <x:c r="A60" s="2"/>
      <x:c r="B60" s="2"/>
      <x:c r="C60" s="3"/>
      <x:c r="D60" s="3"/>
      <x:c r="E60" s="3"/>
      <x:c r="F60" s="3"/>
      <x:c r="G60" s="3"/>
      <x:c r="H60" s="2"/>
      <x:c r="I60" s="2"/>
      <x:c r="J60" s="2"/>
    </x:row>
    <x:row r="61" ht="22" customHeight="1">
      <x:c r="A61" s="2"/>
      <x:c r="B61" s="2"/>
      <x:c r="C61" s="3"/>
      <x:c r="D61" s="3"/>
      <x:c r="E61" s="3"/>
      <x:c r="F61" s="3"/>
      <x:c r="G61" s="3"/>
      <x:c r="H61" s="2"/>
      <x:c r="I61" s="2"/>
      <x:c r="J61" s="2"/>
    </x:row>
    <x:row r="62" ht="22" customHeight="1">
      <x:c r="A62" s="2"/>
      <x:c r="B62" s="2"/>
      <x:c r="C62" s="3"/>
      <x:c r="D62" s="3"/>
      <x:c r="E62" s="3"/>
      <x:c r="F62" s="3"/>
      <x:c r="G62" s="3"/>
      <x:c r="H62" s="2"/>
      <x:c r="I62" s="2"/>
      <x:c r="J62" s="2"/>
    </x:row>
    <x:row r="63" ht="22" customHeight="1">
      <x:c r="A63" s="2"/>
      <x:c r="B63" s="2"/>
      <x:c r="C63" s="3"/>
      <x:c r="D63" s="3"/>
      <x:c r="E63" s="3"/>
      <x:c r="F63" s="3"/>
      <x:c r="G63" s="3"/>
      <x:c r="H63" s="2"/>
      <x:c r="I63" s="2"/>
      <x:c r="J63" s="2"/>
    </x:row>
    <x:row r="64" ht="22" customHeight="1">
      <x:c r="A64" s="2"/>
      <x:c r="B64" s="2"/>
      <x:c r="C64" s="3"/>
      <x:c r="D64" s="3"/>
      <x:c r="E64" s="3"/>
      <x:c r="F64" s="3"/>
      <x:c r="G64" s="3"/>
      <x:c r="H64" s="2"/>
      <x:c r="I64" s="2"/>
      <x:c r="J64" s="2"/>
    </x:row>
    <x:row r="65" ht="22" customHeight="1">
      <x:c r="A65" s="2"/>
      <x:c r="B65" s="2"/>
      <x:c r="C65" s="3"/>
      <x:c r="D65" s="3"/>
      <x:c r="E65" s="3"/>
      <x:c r="F65" s="3"/>
      <x:c r="G65" s="3"/>
      <x:c r="H65" s="2"/>
      <x:c r="I65" s="2"/>
      <x:c r="J65" s="2"/>
    </x:row>
    <x:row r="66" ht="22" customHeight="1">
      <x:c r="A66" s="2"/>
      <x:c r="B66" s="2"/>
      <x:c r="C66" s="3"/>
      <x:c r="D66" s="3"/>
      <x:c r="E66" s="3"/>
      <x:c r="F66" s="3"/>
      <x:c r="G66" s="3"/>
      <x:c r="H66" s="2"/>
      <x:c r="I66" s="2"/>
      <x:c r="J66" s="2"/>
    </x:row>
    <x:row r="67" ht="22" customHeight="1">
      <x:c r="A67" s="2"/>
      <x:c r="B67" s="2"/>
      <x:c r="C67" s="3"/>
      <x:c r="D67" s="3"/>
      <x:c r="E67" s="3"/>
      <x:c r="F67" s="3"/>
      <x:c r="G67" s="3"/>
      <x:c r="H67" s="2"/>
      <x:c r="I67" s="2"/>
      <x:c r="J67" s="2"/>
    </x:row>
    <x:row r="68" ht="22" customHeight="1">
      <x:c r="A68" s="2"/>
      <x:c r="B68" s="2"/>
      <x:c r="C68" s="3"/>
      <x:c r="D68" s="3"/>
      <x:c r="E68" s="3"/>
      <x:c r="F68" s="3"/>
      <x:c r="G68" s="3"/>
      <x:c r="H68" s="2"/>
      <x:c r="I68" s="2"/>
      <x:c r="J68" s="2"/>
    </x:row>
    <x:row r="69" ht="22" customHeight="1">
      <x:c r="A69" s="2"/>
      <x:c r="B69" s="2"/>
      <x:c r="C69" s="3"/>
      <x:c r="D69" s="3"/>
      <x:c r="E69" s="3"/>
      <x:c r="F69" s="3"/>
      <x:c r="G69" s="3"/>
      <x:c r="H69" s="2"/>
      <x:c r="I69" s="2"/>
      <x:c r="J69" s="2"/>
    </x:row>
    <x:row r="70" ht="22" customHeight="1">
      <x:c r="A70" s="2"/>
      <x:c r="B70" s="2"/>
      <x:c r="C70" s="3"/>
      <x:c r="D70" s="3"/>
      <x:c r="E70" s="3"/>
      <x:c r="F70" s="3"/>
      <x:c r="G70" s="3"/>
      <x:c r="H70" s="2"/>
      <x:c r="I70" s="2"/>
      <x:c r="J70" s="2"/>
    </x:row>
    <x:row r="71" ht="22" customHeight="1">
      <x:c r="A71" s="2"/>
      <x:c r="B71" s="2"/>
      <x:c r="C71" s="3"/>
      <x:c r="D71" s="3"/>
      <x:c r="E71" s="3"/>
      <x:c r="F71" s="3"/>
      <x:c r="G71" s="3"/>
      <x:c r="H71" s="2"/>
      <x:c r="I71" s="2"/>
      <x:c r="J71" s="2"/>
    </x:row>
    <x:row r="72" ht="22" customHeight="1">
      <x:c r="A72" s="2"/>
      <x:c r="B72" s="2"/>
      <x:c r="C72" s="3"/>
      <x:c r="D72" s="3"/>
      <x:c r="E72" s="3"/>
      <x:c r="F72" s="3"/>
      <x:c r="G72" s="3"/>
      <x:c r="H72" s="2"/>
      <x:c r="I72" s="2"/>
      <x:c r="J72" s="2"/>
    </x:row>
    <x:row r="73" ht="22" customHeight="1">
      <x:c r="A73" s="2"/>
      <x:c r="B73" s="2"/>
      <x:c r="C73" s="3"/>
      <x:c r="D73" s="3"/>
      <x:c r="E73" s="3"/>
      <x:c r="F73" s="3"/>
      <x:c r="G73" s="3"/>
      <x:c r="H73" s="2"/>
      <x:c r="I73" s="2"/>
      <x:c r="J73" s="2"/>
    </x:row>
    <x:row r="74" ht="22" customHeight="1">
      <x:c r="A74" s="2"/>
      <x:c r="B74" s="2"/>
      <x:c r="C74" s="3"/>
      <x:c r="D74" s="3"/>
      <x:c r="E74" s="3"/>
      <x:c r="F74" s="3"/>
      <x:c r="G74" s="3"/>
      <x:c r="H74" s="2"/>
      <x:c r="I74" s="2"/>
      <x:c r="J74" s="2"/>
    </x:row>
    <x:row r="75" ht="22" customHeight="1">
      <x:c r="A75" s="2"/>
      <x:c r="B75" s="2"/>
      <x:c r="C75" s="3"/>
      <x:c r="D75" s="3"/>
      <x:c r="E75" s="3"/>
      <x:c r="F75" s="3"/>
      <x:c r="G75" s="3"/>
      <x:c r="H75" s="2"/>
      <x:c r="I75" s="2"/>
      <x:c r="J75" s="2"/>
    </x:row>
    <x:row r="76" ht="22" customHeight="1">
      <x:c r="A76" s="2"/>
      <x:c r="B76" s="2"/>
      <x:c r="C76" s="3"/>
      <x:c r="D76" s="3"/>
      <x:c r="E76" s="3"/>
      <x:c r="F76" s="3"/>
      <x:c r="G76" s="3"/>
      <x:c r="H76" s="2"/>
      <x:c r="I76" s="2"/>
      <x:c r="J76" s="2"/>
    </x:row>
    <x:row r="77" ht="22" customHeight="1">
      <x:c r="A77" s="2"/>
      <x:c r="B77" s="2"/>
      <x:c r="C77" s="3"/>
      <x:c r="D77" s="3"/>
      <x:c r="E77" s="3"/>
      <x:c r="F77" s="3"/>
      <x:c r="G77" s="3"/>
      <x:c r="H77" s="2"/>
      <x:c r="I77" s="2"/>
      <x:c r="J77" s="2"/>
    </x:row>
    <x:row r="78" ht="22" customHeight="1">
      <x:c r="A78" s="2"/>
      <x:c r="B78" s="2"/>
      <x:c r="C78" s="3"/>
      <x:c r="D78" s="3"/>
      <x:c r="E78" s="3"/>
      <x:c r="F78" s="3"/>
      <x:c r="G78" s="3"/>
      <x:c r="H78" s="2"/>
      <x:c r="I78" s="2"/>
      <x:c r="J78" s="2"/>
    </x:row>
    <x:row r="79" ht="22" customHeight="1">
      <x:c r="A79" s="2"/>
      <x:c r="B79" s="2"/>
      <x:c r="C79" s="3"/>
      <x:c r="D79" s="3"/>
      <x:c r="E79" s="3"/>
      <x:c r="F79" s="3"/>
      <x:c r="G79" s="3"/>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2" customHeight="1">
      <x:c r="A82" s="2"/>
      <x:c r="B82" s="2"/>
      <x:c r="C82" s="3"/>
      <x:c r="D82" s="3"/>
      <x:c r="E82" s="3"/>
      <x:c r="F82" s="3"/>
      <x:c r="G82" s="3"/>
      <x:c r="H82" s="2"/>
      <x:c r="I82" s="2"/>
      <x:c r="J82" s="2"/>
    </x:row>
    <x:row r="83" ht="22" customHeight="1">
      <x:c r="A83" s="2"/>
      <x:c r="B83" s="2"/>
      <x:c r="C83" s="3"/>
      <x:c r="D83" s="3"/>
      <x:c r="E83" s="3"/>
      <x:c r="F83" s="3"/>
      <x:c r="G83" s="3"/>
      <x:c r="H83" s="2"/>
      <x:c r="I83" s="2"/>
      <x:c r="J83" s="2"/>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sheetData>
  <x:mergeCells>
    <x:mergeCell ref="B2:G2"/>
    <x:mergeCell ref="B3:G3"/>
    <x:mergeCell ref="B6:G6"/>
    <x:mergeCell ref="B7:G7"/>
    <x:mergeCell ref="B9:G9"/>
    <x:mergeCell ref="B10:G10"/>
    <x:mergeCell ref="B12:G12"/>
    <x:mergeCell ref="B13:G13"/>
    <x:mergeCell ref="B15:G15"/>
    <x:mergeCell ref="B16:G16"/>
    <x:mergeCell ref="B18:G18"/>
    <x:mergeCell ref="B19:G19"/>
    <x:mergeCell ref="B21:G21"/>
    <x:mergeCell ref="B22:G22"/>
    <x:mergeCell ref="B24:G24"/>
    <x:mergeCell ref="B25:G25"/>
    <x:mergeCell ref="B27:G27"/>
    <x:mergeCell ref="B28:G28"/>
    <x:mergeCell ref="B30:G30"/>
    <x:mergeCell ref="B31:G31"/>
    <x:mergeCell ref="B33:G33"/>
    <x:mergeCell ref="B34:G34"/>
    <x:mergeCell ref="B36:G36"/>
    <x:mergeCell ref="B37:G37"/>
    <x:mergeCell ref="B39:G39"/>
    <x:mergeCell ref="B40:G40"/>
  </x:mergeCells>
  <x:pageMargins left="0.7" right="0.7" top="0.75" bottom="0.75" header="0.3" footer="0.3"/>
</x:worksheet>
</file>