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f6591af07a416e" /></Relationships>
</file>

<file path=xl/workbook.xml><?xml version="1.0" encoding="utf-8"?>
<x:workbook xmlns:x="http://schemas.openxmlformats.org/spreadsheetml/2006/main">
  <x:sheets>
    <x:sheet xmlns:r="http://schemas.openxmlformats.org/officeDocument/2006/relationships" name="Summary" sheetId="1" r:id="Rabc3ce431426494e"/>
    <x:sheet xmlns:r="http://schemas.openxmlformats.org/officeDocument/2006/relationships" name="Torrent history" sheetId="2" r:id="Rdd246618e46c442e"/>
    <x:sheet xmlns:r="http://schemas.openxmlformats.org/officeDocument/2006/relationships" name="JB history" sheetId="3" r:id="R7c768331a7524533"/>
    <x:sheet xmlns:r="http://schemas.openxmlformats.org/officeDocument/2006/relationships" name="Torrent inputs" sheetId="4" r:id="R0b356ece06dc4da9"/>
    <x:sheet xmlns:r="http://schemas.openxmlformats.org/officeDocument/2006/relationships" name="JB inputs" sheetId="5" r:id="Ra6c9576d3dd848b1"/>
    <x:sheet xmlns:r="http://schemas.openxmlformats.org/officeDocument/2006/relationships" name="Walkthrough" sheetId="6" r:id="R01b49bc69f284c89"/>
    <x:sheet xmlns:r="http://schemas.openxmlformats.org/officeDocument/2006/relationships" name="Forecast summary" sheetId="7" r:id="Rebea9335fe864ebb"/>
    <x:sheet xmlns:r="http://schemas.openxmlformats.org/officeDocument/2006/relationships" name="Assumptions" sheetId="8" r:id="R1945bb6baece402b"/>
    <x:sheet xmlns:r="http://schemas.openxmlformats.org/officeDocument/2006/relationships" name="Torrent forecast" sheetId="9" r:id="Rafe521cac1194bef"/>
    <x:sheet xmlns:r="http://schemas.openxmlformats.org/officeDocument/2006/relationships" name="JB forecast" sheetId="10" r:id="Rd64caac0128e4804"/>
    <x:sheet xmlns:r="http://schemas.openxmlformats.org/officeDocument/2006/relationships" name="Deal summary" sheetId="11" r:id="R824610b8764645eb"/>
    <x:sheet xmlns:r="http://schemas.openxmlformats.org/officeDocument/2006/relationships" name="Deal inputs" sheetId="12" r:id="Rf82e6e3462464d08"/>
    <x:sheet xmlns:r="http://schemas.openxmlformats.org/officeDocument/2006/relationships" name="Sources and uses" sheetId="13" r:id="R62a286b2855f4ac4"/>
    <x:sheet xmlns:r="http://schemas.openxmlformats.org/officeDocument/2006/relationships" name="Merger model" sheetId="14" r:id="Rb1393805b4f342b9"/>
    <x:sheet xmlns:r="http://schemas.openxmlformats.org/officeDocument/2006/relationships" name="DCF summary" sheetId="15" r:id="Rb1e5456b575e4da3"/>
    <x:sheet xmlns:r="http://schemas.openxmlformats.org/officeDocument/2006/relationships" name="Valuation inputs" sheetId="16" r:id="Rb95d90428fc4412a"/>
    <x:sheet xmlns:r="http://schemas.openxmlformats.org/officeDocument/2006/relationships" name="Torrent DCF" sheetId="17" r:id="Rd5a610300e7e4f50"/>
    <x:sheet xmlns:r="http://schemas.openxmlformats.org/officeDocument/2006/relationships" name="JB DCF" sheetId="18" r:id="Rc99b5c5b42964fcb"/>
    <x:sheet xmlns:r="http://schemas.openxmlformats.org/officeDocument/2006/relationships" name="Synergy valuation" sheetId="19" r:id="R1b575f5c54434ea5"/>
    <x:sheet xmlns:r="http://schemas.openxmlformats.org/officeDocument/2006/relationships" name="JB growth test" sheetId="20" r:id="R8760d1a2a95a45e0"/>
  </x:sheets>
</x:workbook>
</file>

<file path=xl/sharedStrings.xml><?xml version="1.0" encoding="utf-8"?>
<x:sst xmlns:x="http://schemas.openxmlformats.org/spreadsheetml/2006/main"/>
</file>

<file path=xl/styles.xml><?xml version="1.0" encoding="utf-8"?>
<x:styleSheet xmlns:x="http://schemas.openxmlformats.org/spreadsheetml/2006/main">
  <x:numFmts count="16">
    <x:numFmt numFmtId="200" formatCode="#,##0.0;(#,##0.0);&quot;–&quot;"/>
    <x:numFmt numFmtId="201" formatCode="#,##0.00;(#,##0.00);&quot;–&quot;"/>
    <x:numFmt numFmtId="202" formatCode="#,##0"/>
    <x:numFmt numFmtId="203" formatCode="0.00;(0.00);&quot;–&quot;"/>
    <x:numFmt numFmtId="204" formatCode="0.0%;(0.0%);&quot;–&quot;"/>
    <x:numFmt numFmtId="205" formatCode="0.0&quot;x&quot;;(0.0&quot;x&quot;);&quot;–&quot;"/>
    <x:numFmt numFmtId="206" formatCode="#,##0.00"/>
    <x:numFmt numFmtId="207" formatCode="0.00;(0.00);0.00"/>
    <x:numFmt numFmtId="208" formatCode="0.00"/>
    <x:numFmt numFmtId="209" formatCode="0.000; (0.000);&quot;–&quot;"/>
    <x:numFmt numFmtId="210" formatCode="0.00x"/>
    <x:numFmt numFmtId="211" formatCode="0.0000"/>
    <x:numFmt numFmtId="212" formatCode="d-mmm-yyyy"/>
    <x:numFmt numFmtId="213" formatCode="0.000"/>
    <x:numFmt numFmtId="214" formatCode="0.000x"/>
    <x:numFmt numFmtId="215" formatCode="0.00%"/>
  </x:numFmts>
  <x:fonts count="23">
    <x:font>
      <x:sz val="11"/>
      <x:name val="Carlito"/>
    </x:font>
    <x:font>
      <x:sz val="11"/>
      <x:color rgb="FF172B40"/>
      <x:name val="Arial"/>
    </x:font>
    <x:font>
      <x:b/>
      <x:sz val="20"/>
      <x:color rgb="FF142D46"/>
      <x:name val="Arial"/>
    </x:font>
    <x:font>
      <x:sz val="10"/>
      <x:color rgb="FF62748A"/>
      <x:name val="Arial"/>
    </x:font>
    <x:font>
      <x:b/>
      <x:sz val="11"/>
      <x:color rgb="FF172B40"/>
      <x:name val="Arial"/>
    </x:font>
    <x:font>
      <x:b/>
      <x:sz val="11"/>
      <x:color rgb="FFFFFFFF"/>
      <x:name val="Arial"/>
    </x:font>
    <x:font>
      <x:sz val="11"/>
      <x:color rgb="FF1555B7"/>
      <x:name val="Arial"/>
    </x:font>
    <x:font>
      <x:sz val="9"/>
      <x:color rgb="FF62748A"/>
      <x:name val="Arial"/>
    </x:font>
    <x:font>
      <x:sz val="10"/>
      <x:color rgb="FF172B40"/>
      <x:name val="Arial"/>
    </x:font>
    <x:font>
      <x:b/>
      <x:sz val="10"/>
      <x:color rgb="FFFFFFFF"/>
      <x:name val="Arial"/>
    </x:font>
    <x:font>
      <x:sz val="11"/>
      <x:color rgb="FF008044"/>
      <x:name val="Arial"/>
    </x:font>
    <x:font>
      <x:i/>
      <x:sz val="11"/>
      <x:color rgb="FF172B40"/>
      <x:name val="Arial"/>
    </x:font>
    <x:font>
      <x:b/>
      <x:sz val="11"/>
      <x:color rgb="FF008044"/>
      <x:name val="Arial"/>
    </x:font>
    <x:font>
      <x:b/>
      <x:sz val="11"/>
      <x:color rgb="FF1555B7"/>
      <x:name val="Arial"/>
    </x:font>
    <x:font>
      <x:b/>
      <x:i/>
      <x:sz val="11"/>
      <x:color rgb="FF008044"/>
      <x:name val="Arial"/>
    </x:font>
    <x:font>
      <x:b/>
      <x:i/>
      <x:sz val="11"/>
      <x:color rgb="FF172B40"/>
      <x:name val="Arial"/>
    </x:font>
    <x:font>
      <x:i/>
      <x:sz val="11"/>
      <x:color rgb="FF1555B7"/>
      <x:name val="Arial"/>
    </x:font>
    <x:font>
      <x:i/>
      <x:sz val="11"/>
      <x:color rgb="FF008044"/>
      <x:name val="Arial"/>
    </x:font>
    <x:font>
      <x:sz val="11"/>
      <x:color rgb="FF172B40"/>
      <x:name val="Carlito"/>
    </x:font>
    <x:font>
      <x:b/>
      <x:sz val="11"/>
      <x:color rgb="FF067A81"/>
      <x:name val="Arial"/>
    </x:font>
    <x:font>
      <x:sz val="11"/>
      <x:color rgb="FF008044"/>
      <x:name val="Carlito"/>
    </x:font>
    <x:font>
      <x:sz val="10"/>
      <x:color rgb="FF586D82"/>
      <x:name val="Arial"/>
    </x:font>
    <x:font>
      <x:b/>
      <x:sz val="10"/>
      <x:color rgb="FF586D82"/>
      <x:name val="Arial"/>
    </x:font>
  </x:fonts>
  <x:fills count="19">
    <x:fill>
      <x:patternFill patternType="none"/>
    </x:fill>
    <x:fill>
      <x:patternFill patternType="gray125"/>
    </x:fill>
    <x:fill>
      <x:patternFill patternType="solid">
        <x:fgColor rgb="FFEAF1F6"/>
      </x:patternFill>
    </x:fill>
    <x:fill>
      <x:patternFill patternType="solid">
        <x:fgColor rgb="FF142D46"/>
      </x:patternFill>
    </x:fill>
    <x:fill>
      <x:patternFill patternType="solid">
        <x:fgColor rgb="FF142D46"/>
      </x:patternFill>
    </x:fill>
    <x:fill>
      <x:patternFill patternType="solid">
        <x:fgColor rgb="FFEAF1F6"/>
      </x:patternFill>
    </x:fill>
    <x:fill>
      <x:patternFill patternType="solid">
        <x:fgColor rgb="FFFFF2CC"/>
      </x:patternFill>
    </x:fill>
    <x:fill>
      <x:patternFill patternType="solid">
        <x:fgColor rgb="FFFFFCF1"/>
      </x:patternFill>
    </x:fill>
    <x:fill>
      <x:patternFill patternType="solid">
        <x:fgColor rgb="FFFFF2CC"/>
      </x:patternFill>
    </x:fill>
    <x:fill>
      <x:patternFill patternType="solid">
        <x:fgColor rgb="FF142D46"/>
      </x:patternFill>
    </x:fill>
    <x:fill>
      <x:patternFill patternType="solid">
        <x:fgColor rgb="FFEAF1F6"/>
      </x:patternFill>
    </x:fill>
    <x:fill>
      <x:patternFill patternType="solid">
        <x:fgColor rgb="FFFFFCF1"/>
      </x:patternFill>
    </x:fill>
    <x:fill>
      <x:patternFill patternType="solid">
        <x:fgColor rgb="FF142D46"/>
      </x:patternFill>
    </x:fill>
    <x:fill>
      <x:patternFill patternType="solid">
        <x:fgColor rgb="FFFFFCF1"/>
      </x:patternFill>
    </x:fill>
    <x:fill>
      <x:patternFill patternType="solid">
        <x:fgColor rgb="FFEAF1F6"/>
      </x:patternFill>
    </x:fill>
    <x:fill>
      <x:patternFill patternType="solid">
        <x:fgColor rgb="FFD8EFEB"/>
      </x:patternFill>
    </x:fill>
    <x:fill>
      <x:patternFill patternType="solid">
        <x:fgColor rgb="FF142D46"/>
      </x:patternFill>
    </x:fill>
    <x:fill>
      <x:patternFill patternType="solid">
        <x:fgColor rgb="FFFFFCF1"/>
      </x:patternFill>
    </x:fill>
    <x:fill>
      <x:patternFill patternType="solid">
        <x:fgColor rgb="FFEAF1F6"/>
      </x:patternFill>
    </x:fill>
  </x:fills>
  <x:borders count="2">
    <x:border/>
    <x:border>
      <x:top style="thin">
        <x:color rgb="FFACBBC8"/>
      </x:top>
    </x:border>
  </x:borders>
  <x:cellStyleXfs count="1">
    <x:xf numFmtId="0" fontId="0" fillId="0" borderId="0"/>
  </x:cellStyleXfs>
  <x:cellXfs count="2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4"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1"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200" fontId="10"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204" fontId="1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1"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2"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200" fontId="12" fillId="0" borderId="1"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0" borderId="1" xfId="0" applyNumberFormat="1" applyFont="1" applyFill="1" applyBorder="1" applyAlignment="1">
      <x:alignment vertical="center"/>
    </x:xf>
    <x:xf numFmtId="203" fontId="4" fillId="0" borderId="0" xfId="0" applyNumberFormat="1" applyFont="1" applyFill="1" applyBorder="1" applyAlignment="1">
      <x:alignment vertical="center"/>
    </x:xf>
    <x:xf numFmtId="203" fontId="4" fillId="0" borderId="1" xfId="0" applyNumberFormat="1" applyFont="1" applyFill="1" applyBorder="1" applyAlignment="1">
      <x:alignment vertical="center"/>
    </x:xf>
    <x:xf numFmtId="204" fontId="0" fillId="0" borderId="0" xfId="0" applyNumberFormat="1" applyFont="1" applyFill="1" applyBorder="1"/>
    <x:xf numFmtId="200" fontId="6"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6"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10" fillId="6" borderId="0" xfId="0" applyNumberFormat="1" applyFont="1" applyFill="1" applyBorder="1" applyAlignment="1">
      <x:alignment vertical="center"/>
    </x:xf>
    <x:xf numFmtId="0" fontId="13" fillId="6"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200" fontId="10"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2"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200" fontId="1" fillId="7" borderId="0" xfId="0" applyNumberFormat="1" applyFont="1" applyFill="1" applyBorder="1" applyAlignment="1">
      <x:alignment vertical="center"/>
    </x:xf>
    <x:xf numFmtId="200" fontId="6" fillId="7" borderId="0" xfId="0" applyNumberFormat="1" applyFont="1" applyFill="1" applyBorder="1" applyAlignment="1">
      <x:alignment vertical="center"/>
    </x:xf>
    <x:xf numFmtId="204" fontId="12" fillId="5" borderId="0" xfId="0" applyNumberFormat="1" applyFont="1" applyFill="1" applyBorder="1" applyAlignment="1">
      <x:alignment vertical="center"/>
    </x:xf>
    <x:xf numFmtId="204" fontId="4" fillId="5" borderId="0" xfId="0" applyNumberFormat="1" applyFont="1" applyFill="1" applyBorder="1" applyAlignment="1">
      <x:alignment vertical="center"/>
    </x:xf>
    <x:xf numFmtId="204" fontId="6" fillId="7" borderId="0" xfId="0" applyNumberFormat="1" applyFont="1" applyFill="1" applyBorder="1" applyAlignment="1">
      <x:alignment vertical="center"/>
    </x:xf>
    <x:xf numFmtId="204" fontId="14" fillId="5" borderId="0" xfId="0" applyNumberFormat="1" applyFont="1" applyFill="1" applyBorder="1" applyAlignment="1">
      <x:alignment vertical="center"/>
    </x:xf>
    <x:xf numFmtId="204" fontId="15" fillId="5" borderId="0" xfId="0" applyNumberFormat="1" applyFont="1" applyFill="1" applyBorder="1" applyAlignment="1">
      <x:alignment vertical="center"/>
    </x:xf>
    <x:xf numFmtId="204" fontId="16" fillId="7" borderId="0" xfId="0" applyNumberFormat="1" applyFont="1" applyFill="1" applyBorder="1" applyAlignment="1">
      <x:alignment vertical="center"/>
    </x:xf>
    <x:xf numFmtId="204" fontId="10" fillId="0" borderId="0" xfId="0" applyNumberFormat="1" applyFont="1" applyFill="1" applyBorder="1" applyAlignment="1">
      <x:alignment vertical="center"/>
    </x:xf>
    <x:xf numFmtId="204" fontId="17" fillId="0" borderId="0" xfId="0" applyNumberFormat="1" applyFont="1" applyFill="1" applyBorder="1" applyAlignment="1">
      <x:alignment vertical="center"/>
    </x:xf>
    <x:xf numFmtId="207" fontId="10"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0" fontId="18" fillId="0" borderId="0" xfId="0" applyNumberFormat="1" applyFont="1" applyFill="1" applyBorder="1"/>
    <x:xf numFmtId="0" fontId="19" fillId="0" borderId="0" xfId="0" applyNumberFormat="1" applyFont="1" applyFill="1" applyBorder="1" applyAlignment="1">
      <x:alignment vertical="center"/>
    </x:xf>
    <x:xf numFmtId="200" fontId="19" fillId="0" borderId="0" xfId="0" applyNumberFormat="1" applyFont="1" applyFill="1" applyBorder="1" applyAlignment="1">
      <x:alignment vertical="center"/>
    </x:xf>
    <x:xf numFmtId="0" fontId="19" fillId="0" borderId="0" xfId="0" applyNumberFormat="1" applyFont="1" applyFill="1" applyBorder="1" applyAlignment="1">
      <x:alignment vertical="center" wrapText="1"/>
    </x:xf>
    <x:xf numFmtId="200" fontId="19" fillId="0" borderId="0" xfId="0" applyNumberFormat="1" applyFont="1" applyFill="1" applyBorder="1" applyAlignment="1">
      <x:alignment vertical="center" wrapText="1"/>
    </x:xf>
    <x:xf numFmtId="0" fontId="20" fillId="0" borderId="0" xfId="0" applyNumberFormat="1" applyFont="1" applyFill="1" applyBorder="1"/>
    <x:xf numFmtId="0" fontId="21" fillId="0" borderId="0" xfId="0" applyNumberFormat="1" applyFont="1" applyFill="1" applyBorder="1" applyAlignment="1">
      <x:alignment vertical="center" wrapText="1"/>
    </x:xf>
    <x:xf numFmtId="0" fontId="10" fillId="8" borderId="0" xfId="0" applyNumberFormat="1" applyFont="1" applyFill="1" applyBorder="1" applyAlignment="1">
      <x:alignment vertical="center"/>
    </x:xf>
    <x:xf numFmtId="0" fontId="13" fillId="8" borderId="0" xfId="0" applyNumberFormat="1" applyFont="1" applyFill="1" applyBorder="1" applyAlignment="1">
      <x:alignment vertical="center"/>
    </x:xf>
    <x:xf numFmtId="0" fontId="1" fillId="9" borderId="0"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204" fontId="6" fillId="0" borderId="0" xfId="0" applyNumberFormat="1" applyFont="1" applyFill="1" applyBorder="1" applyAlignment="1">
      <x:alignment vertical="center"/>
    </x:xf>
    <x:xf numFmtId="0" fontId="1" fillId="10" borderId="0" xfId="0" applyNumberFormat="1" applyFont="1" applyFill="1" applyBorder="1" applyAlignment="1">
      <x:alignment vertical="center"/>
    </x:xf>
    <x:xf numFmtId="204" fontId="1" fillId="10" borderId="0" xfId="0" applyNumberFormat="1" applyFont="1" applyFill="1" applyBorder="1" applyAlignment="1">
      <x:alignment vertical="center"/>
    </x:xf>
    <x:xf numFmtId="200" fontId="1" fillId="10" borderId="0" xfId="0" applyNumberFormat="1" applyFont="1" applyFill="1" applyBorder="1" applyAlignment="1">
      <x:alignment vertical="center"/>
    </x:xf>
    <x:xf numFmtId="0" fontId="4" fillId="10" borderId="0" xfId="0" applyNumberFormat="1" applyFont="1" applyFill="1" applyBorder="1" applyAlignment="1">
      <x:alignment vertical="center"/>
    </x:xf>
    <x:xf numFmtId="204" fontId="4" fillId="10" borderId="0" xfId="0" applyNumberFormat="1" applyFont="1" applyFill="1" applyBorder="1" applyAlignment="1">
      <x:alignment vertical="center"/>
    </x:xf>
    <x:xf numFmtId="200" fontId="4" fillId="10" borderId="0" xfId="0" applyNumberFormat="1" applyFont="1" applyFill="1" applyBorder="1" applyAlignment="1">
      <x:alignment vertical="center"/>
    </x:xf>
    <x:xf numFmtId="0" fontId="4" fillId="10" borderId="1" xfId="0" applyNumberFormat="1" applyFont="1" applyFill="1" applyBorder="1" applyAlignment="1">
      <x:alignment vertical="center"/>
    </x:xf>
    <x:xf numFmtId="204" fontId="4" fillId="10" borderId="1" xfId="0" applyNumberFormat="1" applyFont="1" applyFill="1" applyBorder="1" applyAlignment="1">
      <x:alignment vertical="center"/>
    </x:xf>
    <x:xf numFmtId="200" fontId="4" fillId="10" borderId="1" xfId="0" applyNumberFormat="1" applyFont="1" applyFill="1" applyBorder="1" applyAlignment="1">
      <x:alignment vertical="center"/>
    </x:xf>
    <x:xf numFmtId="200" fontId="1" fillId="9" borderId="0" xfId="0" applyNumberFormat="1" applyFont="1" applyFill="1" applyBorder="1" applyAlignment="1">
      <x:alignment vertical="center" wrapText="1"/>
    </x:xf>
    <x:xf numFmtId="200" fontId="5" fillId="9" borderId="0" xfId="0" applyNumberFormat="1" applyFont="1" applyFill="1" applyBorder="1" applyAlignment="1">
      <x:alignment vertical="center" wrapText="1"/>
    </x:xf>
    <x:xf numFmtId="200" fontId="21" fillId="0" borderId="0" xfId="0" applyNumberFormat="1" applyFont="1" applyFill="1" applyBorder="1" applyAlignment="1">
      <x:alignment vertical="center" wrapText="1"/>
    </x:xf>
    <x:xf numFmtId="208" fontId="6" fillId="0" borderId="0" xfId="0" applyNumberFormat="1" applyFont="1" applyFill="1" applyBorder="1" applyAlignment="1">
      <x:alignment vertical="center"/>
    </x:xf>
    <x:xf numFmtId="200" fontId="1" fillId="11" borderId="0" xfId="0" applyNumberFormat="1" applyFont="1" applyFill="1" applyBorder="1" applyAlignment="1">
      <x:alignment vertical="center"/>
    </x:xf>
    <x:xf numFmtId="200" fontId="6" fillId="11" borderId="0" xfId="0" applyNumberFormat="1" applyFont="1" applyFill="1" applyBorder="1" applyAlignment="1">
      <x:alignment vertical="center"/>
    </x:xf>
    <x:xf numFmtId="204" fontId="6" fillId="11" borderId="0" xfId="0" applyNumberFormat="1" applyFont="1" applyFill="1" applyBorder="1" applyAlignment="1">
      <x:alignment vertical="center"/>
    </x:xf>
    <x:xf numFmtId="209" fontId="10" fillId="0" borderId="0" xfId="0" applyNumberFormat="1" applyFont="1" applyFill="1" applyBorder="1" applyAlignment="1">
      <x:alignment vertical="center"/>
    </x:xf>
    <x:xf numFmtId="209" fontId="1" fillId="0" borderId="0" xfId="0" applyNumberFormat="1" applyFont="1" applyFill="1" applyBorder="1" applyAlignment="1">
      <x:alignment vertical="center"/>
    </x:xf>
    <x:xf numFmtId="209" fontId="5" fillId="9" borderId="0" xfId="0" applyNumberFormat="1" applyFont="1" applyFill="1" applyBorder="1" applyAlignment="1">
      <x:alignment vertical="center" wrapText="1"/>
    </x:xf>
    <x:xf numFmtId="210" fontId="10" fillId="0" borderId="0" xfId="0" applyNumberFormat="1" applyFont="1" applyFill="1" applyBorder="1" applyAlignment="1">
      <x:alignment vertical="center"/>
    </x:xf>
    <x:xf numFmtId="210" fontId="1" fillId="0" borderId="0" xfId="0" applyNumberFormat="1" applyFont="1" applyFill="1" applyBorder="1" applyAlignment="1">
      <x:alignment vertical="center"/>
    </x:xf>
    <x:xf numFmtId="209" fontId="1" fillId="10" borderId="0" xfId="0" applyNumberFormat="1" applyFont="1" applyFill="1" applyBorder="1" applyAlignment="1">
      <x:alignment vertical="center"/>
    </x:xf>
    <x:xf numFmtId="209" fontId="4" fillId="10" borderId="0" xfId="0" applyNumberFormat="1" applyFont="1" applyFill="1" applyBorder="1" applyAlignment="1">
      <x:alignment vertical="center"/>
    </x:xf>
    <x:xf numFmtId="209" fontId="4" fillId="10" borderId="1" xfId="0" applyNumberFormat="1" applyFont="1" applyFill="1" applyBorder="1" applyAlignment="1">
      <x:alignment vertical="center"/>
    </x:xf>
    <x:xf numFmtId="210" fontId="1" fillId="10" borderId="0" xfId="0" applyNumberFormat="1" applyFont="1" applyFill="1" applyBorder="1" applyAlignment="1">
      <x:alignment vertical="center"/>
    </x:xf>
    <x:xf numFmtId="210" fontId="4" fillId="10" borderId="0" xfId="0" applyNumberFormat="1" applyFont="1" applyFill="1" applyBorder="1" applyAlignment="1">
      <x:alignment vertical="center"/>
    </x:xf>
    <x:xf numFmtId="210" fontId="4" fillId="10" borderId="1" xfId="0" applyNumberFormat="1" applyFont="1" applyFill="1" applyBorder="1" applyAlignment="1">
      <x:alignment vertical="center"/>
    </x:xf>
    <x:xf numFmtId="200" fontId="4" fillId="10" borderId="1" xfId="0" applyNumberFormat="1" applyFont="1" applyFill="1" applyBorder="1" applyAlignment="1">
      <x:alignment vertical="center" wrapText="1"/>
    </x:xf>
    <x:xf numFmtId="200" fontId="22" fillId="10" borderId="1" xfId="0" applyNumberFormat="1" applyFont="1" applyFill="1" applyBorder="1" applyAlignment="1">
      <x:alignment vertical="center" wrapText="1"/>
    </x:xf>
    <x:xf numFmtId="211" fontId="1" fillId="0" borderId="0" xfId="0" applyNumberFormat="1" applyFont="1" applyFill="1" applyBorder="1" applyAlignment="1">
      <x:alignment vertical="center"/>
    </x:xf>
    <x:xf numFmtId="0" fontId="4" fillId="10" borderId="0" xfId="0" applyNumberFormat="1" applyFont="1" applyFill="1" applyBorder="1" applyAlignment="1">
      <x:alignment vertical="center" wrapText="1"/>
    </x:xf>
    <x:xf numFmtId="200" fontId="10" fillId="10" borderId="0" xfId="0" applyNumberFormat="1" applyFont="1" applyFill="1" applyBorder="1" applyAlignment="1">
      <x:alignment vertical="center"/>
    </x:xf>
    <x:xf numFmtId="200" fontId="12" fillId="10" borderId="0" xfId="0" applyNumberFormat="1" applyFont="1" applyFill="1" applyBorder="1" applyAlignment="1">
      <x:alignment vertical="center"/>
    </x:xf>
    <x:xf numFmtId="200" fontId="12" fillId="10" borderId="1" xfId="0" applyNumberFormat="1" applyFont="1" applyFill="1" applyBorder="1" applyAlignment="1">
      <x:alignment vertical="center"/>
    </x:xf>
    <x:xf numFmtId="209" fontId="10" fillId="10" borderId="0" xfId="0" applyNumberFormat="1" applyFont="1" applyFill="1" applyBorder="1" applyAlignment="1">
      <x:alignment vertical="center"/>
    </x:xf>
    <x:xf numFmtId="209" fontId="12" fillId="10" borderId="0" xfId="0" applyNumberFormat="1" applyFont="1" applyFill="1" applyBorder="1" applyAlignment="1">
      <x:alignment vertical="center"/>
    </x:xf>
    <x:xf numFmtId="209" fontId="12" fillId="10" borderId="1" xfId="0" applyNumberFormat="1" applyFont="1" applyFill="1" applyBorder="1" applyAlignment="1">
      <x:alignment vertical="center"/>
    </x:xf>
    <x:xf numFmtId="210" fontId="10" fillId="10" borderId="0" xfId="0" applyNumberFormat="1" applyFont="1" applyFill="1" applyBorder="1" applyAlignment="1">
      <x:alignment vertical="center"/>
    </x:xf>
    <x:xf numFmtId="210" fontId="12" fillId="10" borderId="0" xfId="0" applyNumberFormat="1" applyFont="1" applyFill="1" applyBorder="1" applyAlignment="1">
      <x:alignment vertical="center"/>
    </x:xf>
    <x:xf numFmtId="210" fontId="12" fillId="10" borderId="1" xfId="0" applyNumberFormat="1" applyFont="1" applyFill="1" applyBorder="1" applyAlignment="1">
      <x:alignment vertical="center"/>
    </x:xf>
    <x:xf numFmtId="200" fontId="4" fillId="0" borderId="0" xfId="0" applyNumberFormat="1" applyFont="1" applyFill="1" applyBorder="1" applyAlignment="1">
      <x:alignment vertical="center" wrapText="1"/>
    </x:xf>
    <x:xf numFmtId="204" fontId="10" fillId="10" borderId="0" xfId="0" applyNumberFormat="1" applyFont="1" applyFill="1" applyBorder="1" applyAlignment="1">
      <x:alignment vertical="center"/>
    </x:xf>
    <x:xf numFmtId="204" fontId="12" fillId="10" borderId="0" xfId="0" applyNumberFormat="1" applyFont="1" applyFill="1" applyBorder="1" applyAlignment="1">
      <x:alignment vertical="center"/>
    </x:xf>
    <x:xf numFmtId="204" fontId="12" fillId="10" borderId="1" xfId="0" applyNumberFormat="1" applyFont="1" applyFill="1" applyBorder="1" applyAlignment="1">
      <x:alignment vertical="center"/>
    </x:xf>
    <x:xf numFmtId="0" fontId="1" fillId="12" borderId="0" xfId="0" applyNumberFormat="1" applyFont="1" applyFill="1" applyBorder="1" applyAlignment="1">
      <x:alignment vertical="center" wrapText="1"/>
    </x:xf>
    <x:xf numFmtId="0" fontId="5" fillId="12" borderId="0" xfId="0" applyNumberFormat="1" applyFont="1" applyFill="1" applyBorder="1" applyAlignment="1">
      <x:alignment vertical="center" wrapText="1"/>
    </x:xf>
    <x:xf numFmtId="212" fontId="1" fillId="0" borderId="0" xfId="0" applyNumberFormat="1" applyFont="1" applyFill="1" applyBorder="1" applyAlignment="1">
      <x:alignment vertical="center"/>
    </x:xf>
    <x:xf numFmtId="212" fontId="6" fillId="0" borderId="0" xfId="0" applyNumberFormat="1" applyFont="1" applyFill="1" applyBorder="1" applyAlignment="1">
      <x:alignment vertical="center"/>
    </x:xf>
    <x:xf numFmtId="200" fontId="1" fillId="12" borderId="0" xfId="0" applyNumberFormat="1" applyFont="1" applyFill="1" applyBorder="1" applyAlignment="1">
      <x:alignment vertical="center" wrapText="1"/>
    </x:xf>
    <x:xf numFmtId="200" fontId="5" fillId="12" borderId="0" xfId="0" applyNumberFormat="1" applyFont="1" applyFill="1" applyBorder="1" applyAlignment="1">
      <x:alignment vertical="center" wrapText="1"/>
    </x:xf>
    <x:xf numFmtId="200" fontId="1" fillId="13" borderId="0" xfId="0" applyNumberFormat="1" applyFont="1" applyFill="1" applyBorder="1" applyAlignment="1">
      <x:alignment vertical="center"/>
    </x:xf>
    <x:xf numFmtId="200" fontId="6" fillId="13" borderId="0" xfId="0" applyNumberFormat="1" applyFont="1" applyFill="1" applyBorder="1" applyAlignment="1">
      <x:alignment vertical="center"/>
    </x:xf>
    <x:xf numFmtId="204" fontId="6" fillId="13" borderId="0" xfId="0" applyNumberFormat="1" applyFont="1" applyFill="1" applyBorder="1" applyAlignment="1">
      <x:alignment vertical="center"/>
    </x:xf>
    <x:xf numFmtId="210" fontId="6" fillId="13" borderId="0" xfId="0" applyNumberFormat="1" applyFont="1" applyFill="1" applyBorder="1" applyAlignment="1">
      <x:alignment vertical="center"/>
    </x:xf>
    <x:xf numFmtId="0" fontId="1" fillId="14" borderId="0" xfId="0" applyNumberFormat="1" applyFont="1" applyFill="1" applyBorder="1" applyAlignment="1">
      <x:alignment vertical="center" wrapText="1"/>
    </x:xf>
    <x:xf numFmtId="200" fontId="1" fillId="14" borderId="0" xfId="0" applyNumberFormat="1" applyFont="1" applyFill="1" applyBorder="1" applyAlignment="1">
      <x:alignment vertical="center"/>
    </x:xf>
    <x:xf numFmtId="204" fontId="1" fillId="14" borderId="0" xfId="0" applyNumberFormat="1" applyFont="1" applyFill="1" applyBorder="1" applyAlignment="1">
      <x:alignment vertical="center"/>
    </x:xf>
    <x:xf numFmtId="200" fontId="21" fillId="14" borderId="0" xfId="0" applyNumberFormat="1" applyFont="1" applyFill="1" applyBorder="1" applyAlignment="1">
      <x:alignment vertical="center" wrapText="1"/>
    </x:xf>
    <x:xf numFmtId="0" fontId="4" fillId="14" borderId="0" xfId="0" applyNumberFormat="1" applyFont="1" applyFill="1" applyBorder="1" applyAlignment="1">
      <x:alignment vertical="center" wrapText="1"/>
    </x:xf>
    <x:xf numFmtId="200" fontId="4" fillId="14" borderId="0" xfId="0" applyNumberFormat="1" applyFont="1" applyFill="1" applyBorder="1" applyAlignment="1">
      <x:alignment vertical="center"/>
    </x:xf>
    <x:xf numFmtId="204" fontId="4" fillId="14" borderId="0" xfId="0" applyNumberFormat="1" applyFont="1" applyFill="1" applyBorder="1" applyAlignment="1">
      <x:alignment vertical="center"/>
    </x:xf>
    <x:xf numFmtId="200" fontId="22" fillId="14" borderId="0" xfId="0" applyNumberFormat="1" applyFont="1" applyFill="1" applyBorder="1" applyAlignment="1">
      <x:alignment vertical="center" wrapText="1"/>
    </x:xf>
    <x:xf numFmtId="0" fontId="4" fillId="14" borderId="1" xfId="0" applyNumberFormat="1" applyFont="1" applyFill="1" applyBorder="1" applyAlignment="1">
      <x:alignment vertical="center" wrapText="1"/>
    </x:xf>
    <x:xf numFmtId="200" fontId="4" fillId="14" borderId="1" xfId="0" applyNumberFormat="1" applyFont="1" applyFill="1" applyBorder="1" applyAlignment="1">
      <x:alignment vertical="center"/>
    </x:xf>
    <x:xf numFmtId="204" fontId="4" fillId="14" borderId="1" xfId="0" applyNumberFormat="1" applyFont="1" applyFill="1" applyBorder="1" applyAlignment="1">
      <x:alignment vertical="center"/>
    </x:xf>
    <x:xf numFmtId="200" fontId="22" fillId="14" borderId="1" xfId="0" applyNumberFormat="1" applyFont="1" applyFill="1" applyBorder="1" applyAlignment="1">
      <x:alignment vertical="center" wrapText="1"/>
    </x:xf>
    <x:xf numFmtId="213" fontId="10" fillId="0" borderId="0" xfId="0" applyNumberFormat="1" applyFont="1" applyFill="1" applyBorder="1" applyAlignment="1">
      <x:alignment vertical="center"/>
    </x:xf>
    <x:xf numFmtId="213" fontId="1" fillId="0" borderId="0" xfId="0" applyNumberFormat="1" applyFont="1" applyFill="1" applyBorder="1" applyAlignment="1">
      <x:alignment vertical="center"/>
    </x:xf>
    <x:xf numFmtId="0" fontId="1" fillId="14" borderId="0" xfId="0" applyNumberFormat="1" applyFont="1" applyFill="1" applyBorder="1" applyAlignment="1">
      <x:alignment vertical="center"/>
    </x:xf>
    <x:xf numFmtId="0" fontId="4" fillId="14" borderId="0" xfId="0" applyNumberFormat="1" applyFont="1" applyFill="1" applyBorder="1" applyAlignment="1">
      <x:alignment vertical="center"/>
    </x:xf>
    <x:xf numFmtId="0" fontId="4" fillId="14" borderId="1" xfId="0" applyNumberFormat="1" applyFont="1" applyFill="1" applyBorder="1" applyAlignment="1">
      <x:alignment vertical="center"/>
    </x:xf>
    <x:xf numFmtId="201" fontId="1" fillId="14" borderId="0" xfId="0" applyNumberFormat="1" applyFont="1" applyFill="1" applyBorder="1" applyAlignment="1">
      <x:alignment vertical="center"/>
    </x:xf>
    <x:xf numFmtId="201" fontId="4" fillId="14" borderId="0" xfId="0" applyNumberFormat="1" applyFont="1" applyFill="1" applyBorder="1" applyAlignment="1">
      <x:alignment vertical="center"/>
    </x:xf>
    <x:xf numFmtId="201" fontId="4" fillId="14" borderId="1" xfId="0" applyNumberFormat="1" applyFont="1" applyFill="1" applyBorder="1" applyAlignment="1">
      <x:alignment vertical="center"/>
    </x:xf>
    <x:xf numFmtId="201" fontId="1" fillId="15" borderId="0" xfId="0" applyNumberFormat="1" applyFont="1" applyFill="1" applyBorder="1" applyAlignment="1">
      <x:alignment vertical="center"/>
    </x:xf>
    <x:xf numFmtId="201" fontId="4" fillId="15" borderId="0" xfId="0" applyNumberFormat="1" applyFont="1" applyFill="1" applyBorder="1" applyAlignment="1">
      <x:alignment vertical="center"/>
    </x:xf>
    <x:xf numFmtId="208" fontId="10" fillId="0" borderId="0" xfId="0" applyNumberFormat="1" applyFont="1" applyFill="1" applyBorder="1" applyAlignment="1">
      <x:alignment vertical="center"/>
    </x:xf>
    <x:xf numFmtId="208" fontId="1"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0" fontId="1" fillId="16" borderId="0" xfId="0" applyNumberFormat="1" applyFont="1" applyFill="1" applyBorder="1" applyAlignment="1">
      <x:alignment vertical="center" wrapText="1"/>
    </x:xf>
    <x:xf numFmtId="200" fontId="1" fillId="16" borderId="0" xfId="0" applyNumberFormat="1" applyFont="1" applyFill="1" applyBorder="1" applyAlignment="1">
      <x:alignment vertical="center" wrapText="1"/>
    </x:xf>
    <x:xf numFmtId="0" fontId="5" fillId="16" borderId="0" xfId="0" applyNumberFormat="1" applyFont="1" applyFill="1" applyBorder="1" applyAlignment="1">
      <x:alignment vertical="center" wrapText="1"/>
    </x:xf>
    <x:xf numFmtId="200" fontId="5" fillId="16" borderId="0" xfId="0" applyNumberFormat="1" applyFont="1" applyFill="1" applyBorder="1" applyAlignment="1">
      <x:alignment vertical="center" wrapText="1"/>
    </x:xf>
    <x:xf numFmtId="204" fontId="1" fillId="17" borderId="0" xfId="0" applyNumberFormat="1" applyFont="1" applyFill="1" applyBorder="1" applyAlignment="1">
      <x:alignment vertical="center"/>
    </x:xf>
    <x:xf numFmtId="204" fontId="6" fillId="17" borderId="0" xfId="0" applyNumberFormat="1" applyFont="1" applyFill="1" applyBorder="1" applyAlignment="1">
      <x:alignment vertical="center"/>
    </x:xf>
    <x:xf numFmtId="214" fontId="1" fillId="0" borderId="0" xfId="0" applyNumberFormat="1" applyFont="1" applyFill="1" applyBorder="1" applyAlignment="1">
      <x:alignment vertical="center"/>
    </x:xf>
    <x:xf numFmtId="214" fontId="1" fillId="17" borderId="0" xfId="0" applyNumberFormat="1" applyFont="1" applyFill="1" applyBorder="1" applyAlignment="1">
      <x:alignment vertical="center"/>
    </x:xf>
    <x:xf numFmtId="214" fontId="6" fillId="17" borderId="0" xfId="0" applyNumberFormat="1" applyFont="1" applyFill="1" applyBorder="1" applyAlignment="1">
      <x:alignment vertical="center"/>
    </x:xf>
    <x:xf numFmtId="204" fontId="1" fillId="7" borderId="0" xfId="0" applyNumberFormat="1" applyFont="1" applyFill="1" applyBorder="1" applyAlignment="1">
      <x:alignment vertical="center"/>
    </x:xf>
    <x:xf numFmtId="210" fontId="1" fillId="7" borderId="0" xfId="0" applyNumberFormat="1" applyFont="1" applyFill="1" applyBorder="1" applyAlignment="1">
      <x:alignment vertical="center"/>
    </x:xf>
    <x:xf numFmtId="215" fontId="1" fillId="7" borderId="0" xfId="0" applyNumberFormat="1" applyFont="1" applyFill="1" applyBorder="1" applyAlignment="1">
      <x:alignment vertical="center"/>
    </x:xf>
    <x:xf numFmtId="215" fontId="6" fillId="17" borderId="0" xfId="0" applyNumberFormat="1" applyFont="1" applyFill="1" applyBorder="1" applyAlignment="1">
      <x:alignment vertical="center"/>
    </x:xf>
    <x:xf numFmtId="215" fontId="4" fillId="2" borderId="1" xfId="0" applyNumberFormat="1" applyFont="1" applyFill="1" applyBorder="1" applyAlignment="1">
      <x:alignment vertical="center"/>
    </x:xf>
    <x:xf numFmtId="200" fontId="1" fillId="17" borderId="0" xfId="0" applyNumberFormat="1" applyFont="1" applyFill="1" applyBorder="1" applyAlignment="1">
      <x:alignment vertical="center"/>
    </x:xf>
    <x:xf numFmtId="200" fontId="6" fillId="17" borderId="0" xfId="0" applyNumberFormat="1" applyFont="1" applyFill="1" applyBorder="1" applyAlignment="1">
      <x:alignment vertical="center"/>
    </x:xf>
    <x:xf numFmtId="215" fontId="1" fillId="0" borderId="0" xfId="0" applyNumberFormat="1" applyFont="1" applyFill="1" applyBorder="1" applyAlignment="1">
      <x:alignment vertical="center"/>
    </x:xf>
    <x:xf numFmtId="215" fontId="10" fillId="0" borderId="0" xfId="0" applyNumberFormat="1" applyFont="1" applyFill="1" applyBorder="1" applyAlignment="1">
      <x:alignment vertical="center"/>
    </x:xf>
    <x:xf numFmtId="0" fontId="1" fillId="18" borderId="0" xfId="0" applyNumberFormat="1" applyFont="1" applyFill="1" applyBorder="1" applyAlignment="1">
      <x:alignment vertical="center"/>
    </x:xf>
    <x:xf numFmtId="200" fontId="10" fillId="18" borderId="0" xfId="0" applyNumberFormat="1" applyFont="1" applyFill="1" applyBorder="1" applyAlignment="1">
      <x:alignment vertical="center"/>
    </x:xf>
    <x:xf numFmtId="200" fontId="1" fillId="18" borderId="0" xfId="0" applyNumberFormat="1" applyFont="1" applyFill="1" applyBorder="1" applyAlignment="1">
      <x:alignment vertical="center"/>
    </x:xf>
    <x:xf numFmtId="0" fontId="4" fillId="18" borderId="0" xfId="0" applyNumberFormat="1" applyFont="1" applyFill="1" applyBorder="1" applyAlignment="1">
      <x:alignment vertical="center"/>
    </x:xf>
    <x:xf numFmtId="200" fontId="12" fillId="18" borderId="0" xfId="0" applyNumberFormat="1" applyFont="1" applyFill="1" applyBorder="1" applyAlignment="1">
      <x:alignment vertical="center"/>
    </x:xf>
    <x:xf numFmtId="200" fontId="4" fillId="18" borderId="0" xfId="0" applyNumberFormat="1" applyFont="1" applyFill="1" applyBorder="1" applyAlignment="1">
      <x:alignment vertical="center"/>
    </x:xf>
    <x:xf numFmtId="0" fontId="4" fillId="18" borderId="1" xfId="0" applyNumberFormat="1" applyFont="1" applyFill="1" applyBorder="1" applyAlignment="1">
      <x:alignment vertical="center"/>
    </x:xf>
    <x:xf numFmtId="200" fontId="12" fillId="18" borderId="1" xfId="0" applyNumberFormat="1" applyFont="1" applyFill="1" applyBorder="1" applyAlignment="1">
      <x:alignment vertical="center"/>
    </x:xf>
    <x:xf numFmtId="200" fontId="4" fillId="18" borderId="1" xfId="0" applyNumberFormat="1" applyFont="1" applyFill="1" applyBorder="1" applyAlignment="1">
      <x:alignment vertical="center"/>
    </x:xf>
    <x:xf numFmtId="201" fontId="10" fillId="18" borderId="0" xfId="0" applyNumberFormat="1" applyFont="1" applyFill="1" applyBorder="1" applyAlignment="1">
      <x:alignment vertical="center"/>
    </x:xf>
    <x:xf numFmtId="201" fontId="12" fillId="18" borderId="0" xfId="0" applyNumberFormat="1" applyFont="1" applyFill="1" applyBorder="1" applyAlignment="1">
      <x:alignment vertical="center"/>
    </x:xf>
    <x:xf numFmtId="201" fontId="12" fillId="18" borderId="1" xfId="0" applyNumberFormat="1" applyFont="1" applyFill="1" applyBorder="1" applyAlignment="1">
      <x:alignment vertical="center"/>
    </x:xf>
    <x:xf numFmtId="208" fontId="1" fillId="18" borderId="0" xfId="0" applyNumberFormat="1" applyFont="1" applyFill="1" applyBorder="1" applyAlignment="1">
      <x:alignment vertical="center"/>
    </x:xf>
    <x:xf numFmtId="208" fontId="4" fillId="18" borderId="0" xfId="0" applyNumberFormat="1" applyFont="1" applyFill="1" applyBorder="1" applyAlignment="1">
      <x:alignment vertical="center"/>
    </x:xf>
    <x:xf numFmtId="208" fontId="4" fillId="18" borderId="1" xfId="0" applyNumberFormat="1" applyFont="1" applyFill="1" applyBorder="1" applyAlignment="1">
      <x:alignment vertical="center"/>
    </x:xf>
    <x:xf numFmtId="204" fontId="1" fillId="18" borderId="0" xfId="0" applyNumberFormat="1" applyFont="1" applyFill="1" applyBorder="1" applyAlignment="1">
      <x:alignment vertical="center"/>
    </x:xf>
    <x:xf numFmtId="204" fontId="4" fillId="18" borderId="0" xfId="0" applyNumberFormat="1" applyFont="1" applyFill="1" applyBorder="1" applyAlignment="1">
      <x:alignment vertical="center"/>
    </x:xf>
    <x:xf numFmtId="204" fontId="4" fillId="18" borderId="1" xfId="0" applyNumberFormat="1" applyFont="1" applyFill="1" applyBorder="1" applyAlignment="1">
      <x:alignment vertical="center"/>
    </x:xf>
    <x:xf numFmtId="201" fontId="1" fillId="18" borderId="0" xfId="0" applyNumberFormat="1" applyFont="1" applyFill="1" applyBorder="1" applyAlignment="1">
      <x:alignment vertical="center"/>
    </x:xf>
    <x:xf numFmtId="201" fontId="4" fillId="18" borderId="0" xfId="0" applyNumberFormat="1" applyFont="1" applyFill="1" applyBorder="1" applyAlignment="1">
      <x:alignment vertical="center"/>
    </x:xf>
    <x:xf numFmtId="201" fontId="4" fillId="18" borderId="1" xfId="0" applyNumberFormat="1" applyFont="1" applyFill="1" applyBorder="1" applyAlignment="1">
      <x:alignment vertical="center"/>
    </x:xf>
  </x:cellXfs>
  <x:cellStyles count="1">
    <x:cellStyle name="Normal" xfId="0"/>
  </x:cellStyles>
  <x:dxfs count="8">
    <x:dxf>
      <x:font>
        <x:b/>
        <x:color rgb="FFB42318"/>
      </x:font>
      <x:fill>
        <x:patternFill>
          <x:bgColor rgb="FFFCE5E1"/>
        </x:patternFill>
      </x:fill>
    </x:dxf>
    <x:dxf>
      <x:font>
        <x:b/>
        <x:color rgb="FFB42318"/>
      </x:font>
      <x:fill>
        <x:patternFill>
          <x:bgColor rgb="FFFCE5E1"/>
        </x:patternFill>
      </x:fill>
    </x:dxf>
    <x:dxf>
      <x:font>
        <x:b/>
        <x:color rgb="FFB42318"/>
      </x:font>
      <x:fill>
        <x:patternFill>
          <x:bgColor rgb="FFFCE5E1"/>
        </x:patternFill>
      </x:fill>
    </x:dxf>
    <x:dxf>
      <x:font>
        <x:b/>
        <x:color rgb="FFB42318"/>
      </x:font>
      <x:fill>
        <x:patternFill>
          <x:bgColor rgb="FFFCE5E1"/>
        </x:patternFill>
      </x:fill>
    </x:dxf>
    <x:dxf>
      <x:fill>
        <x:patternFill>
          <x:bgColor rgb="FFFCE5E1"/>
        </x:patternFill>
      </x:fill>
    </x:dxf>
    <x:dxf>
      <x:fill>
        <x:patternFill>
          <x:bgColor rgb="FFFCE5E1"/>
        </x:patternFill>
      </x:fill>
    </x:dxf>
    <x:dxf>
      <x:fill>
        <x:patternFill>
          <x:bgColor rgb="FFFCE5E1"/>
        </x:patternFill>
      </x:fill>
    </x:dxf>
    <x:dxf>
      <x:fill>
        <x:patternFill>
          <x:bgColor rgb="FFFCE5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171c681b1f4261" /><Relationship Type="http://schemas.openxmlformats.org/officeDocument/2006/relationships/theme" Target="/xl/theme/theme1.xml" Id="R0a193868526d4b97" /><Relationship Type="http://schemas.openxmlformats.org/officeDocument/2006/relationships/sharedStrings" Target="/xl/sharedStrings.xml" Id="Rbc76833438644cff" /><Relationship Type="http://schemas.openxmlformats.org/officeDocument/2006/relationships/worksheet" Target="/xl/worksheets/sheet1.xml" Id="Rabc3ce431426494e" /><Relationship Type="http://schemas.openxmlformats.org/officeDocument/2006/relationships/worksheet" Target="/xl/worksheets/sheet2.xml" Id="Rdd246618e46c442e" /><Relationship Type="http://schemas.openxmlformats.org/officeDocument/2006/relationships/worksheet" Target="/xl/worksheets/sheet3.xml" Id="R7c768331a7524533" /><Relationship Type="http://schemas.openxmlformats.org/officeDocument/2006/relationships/worksheet" Target="/xl/worksheets/sheet4.xml" Id="R0b356ece06dc4da9" /><Relationship Type="http://schemas.openxmlformats.org/officeDocument/2006/relationships/worksheet" Target="/xl/worksheets/sheet5.xml" Id="Ra6c9576d3dd848b1" /><Relationship Type="http://schemas.openxmlformats.org/officeDocument/2006/relationships/worksheet" Target="/xl/worksheets/sheet6.xml" Id="R01b49bc69f284c89" /><Relationship Type="http://schemas.openxmlformats.org/officeDocument/2006/relationships/worksheet" Target="/xl/worksheets/sheet7.xml" Id="Rebea9335fe864ebb" /><Relationship Type="http://schemas.openxmlformats.org/officeDocument/2006/relationships/worksheet" Target="/xl/worksheets/sheet8.xml" Id="R1945bb6baece402b" /><Relationship Type="http://schemas.openxmlformats.org/officeDocument/2006/relationships/worksheet" Target="/xl/worksheets/sheet9.xml" Id="Rafe521cac1194bef" /><Relationship Type="http://schemas.openxmlformats.org/officeDocument/2006/relationships/worksheet" Target="/xl/worksheets/sheet10.xml" Id="Rd64caac0128e4804" /><Relationship Type="http://schemas.openxmlformats.org/officeDocument/2006/relationships/worksheet" Target="/xl/worksheets/sheet11.xml" Id="R824610b8764645eb" /><Relationship Type="http://schemas.openxmlformats.org/officeDocument/2006/relationships/worksheet" Target="/xl/worksheets/sheet12.xml" Id="Rf82e6e3462464d08" /><Relationship Type="http://schemas.openxmlformats.org/officeDocument/2006/relationships/worksheet" Target="/xl/worksheets/sheet13.xml" Id="R62a286b2855f4ac4" /><Relationship Type="http://schemas.openxmlformats.org/officeDocument/2006/relationships/worksheet" Target="/xl/worksheets/sheet14.xml" Id="Rb1393805b4f342b9" /><Relationship Type="http://schemas.openxmlformats.org/officeDocument/2006/relationships/worksheet" Target="/xl/worksheets/sheet15.xml" Id="Rb1e5456b575e4da3" /><Relationship Type="http://schemas.openxmlformats.org/officeDocument/2006/relationships/worksheet" Target="/xl/worksheets/sheet16.xml" Id="Rb95d90428fc4412a" /><Relationship Type="http://schemas.openxmlformats.org/officeDocument/2006/relationships/worksheet" Target="/xl/worksheets/sheet17.xml" Id="Rd5a610300e7e4f50" /><Relationship Type="http://schemas.openxmlformats.org/officeDocument/2006/relationships/worksheet" Target="/xl/worksheets/sheet18.xml" Id="Rc99b5c5b42964fcb" /><Relationship Type="http://schemas.openxmlformats.org/officeDocument/2006/relationships/worksheet" Target="/xl/worksheets/sheet19.xml" Id="R1b575f5c54434ea5" /><Relationship Type="http://schemas.openxmlformats.org/officeDocument/2006/relationships/worksheet" Target="/xl/worksheets/sheet20.xml" Id="R8760d1a2a95a45e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e922b844114636" /></Relationships>
</file>

<file path=xl/drawings/_rels/drawing2.xml.rels>&#65279;<?xml version="1.0" encoding="utf-8"?><Relationships xmlns="http://schemas.openxmlformats.org/package/2006/relationships"><Relationship Type="http://schemas.openxmlformats.org/officeDocument/2006/relationships/chart" Target="/xl/drawings/charts/chart2.xml" Id="Reb837267605447d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Operating EBITDA margin | FY21–FY25</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margin</c:v>
          </c:tx>
          <c:spPr>
            <a:ln xmlns:a="http://schemas.openxmlformats.org/drawingml/2006/main" w="19050">
              <a:solidFill>
                <a:srgbClr val="142D46"/>
              </a:solidFill>
              <a:prstDash val="solid"/>
            </a:ln>
          </c:spPr>
          <c:marker>
            <c:symbol val="none"/>
          </c:marker>
          <c:cat>
            <c:strRef>
              <c:f>'Summary'!$J$45:$J$49</c:f>
              <c:strCache>
                <c:ptCount val="0"/>
              </c:strCache>
            </c:strRef>
          </c:cat>
          <c:val>
            <c:numRef>
              <c:f>'Summary'!$K$45:$K$49</c:f>
              <c:numCache>
                <c:formatCode>0.0%;(0.0%);"–"</c:formatCode>
                <c:ptCount val="0"/>
              </c:numCache>
            </c:numRef>
          </c:val>
          <c:smooth val="0"/>
        </c:ser>
        <c:ser>
          <c:idx val="1"/>
          <c:order val="1"/>
          <c:tx>
            <c:v>JB margin</c:v>
          </c:tx>
          <c:spPr>
            <a:ln xmlns:a="http://schemas.openxmlformats.org/drawingml/2006/main" w="19050">
              <a:solidFill>
                <a:srgbClr val="067A81"/>
              </a:solidFill>
              <a:prstDash val="solid"/>
            </a:ln>
          </c:spPr>
          <c:marker>
            <c:symbol val="none"/>
          </c:marker>
          <c:cat>
            <c:strRef>
              <c:f>'Summary'!$J$45:$J$49</c:f>
              <c:strCache>
                <c:ptCount val="0"/>
              </c:strCache>
            </c:strRef>
          </c:cat>
          <c:val>
            <c:numRef>
              <c:f>'Summary'!$L$45:$L$49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Annual free cash flow proxy (INR crore)</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FCF</c:v>
          </c:tx>
          <c:spPr>
            <a:ln xmlns:a="http://schemas.openxmlformats.org/drawingml/2006/main" w="19050">
              <a:solidFill>
                <a:srgbClr val="142D46"/>
              </a:solidFill>
              <a:prstDash val="solid"/>
            </a:ln>
          </c:spPr>
          <c:marker>
            <c:symbol val="none"/>
          </c:marker>
          <c:cat>
            <c:strRef>
              <c:f>'Forecast summary'!$J$45:$J$49</c:f>
              <c:strCache>
                <c:ptCount val="0"/>
              </c:strCache>
            </c:strRef>
          </c:cat>
          <c:val>
            <c:numRef>
              <c:f>'Forecast summary'!$K$45:$K$49</c:f>
              <c:numCache>
                <c:formatCode>#,##0</c:formatCode>
                <c:ptCount val="0"/>
              </c:numCache>
            </c:numRef>
          </c:val>
          <c:smooth val="0"/>
        </c:ser>
        <c:ser>
          <c:idx val="1"/>
          <c:order val="1"/>
          <c:tx>
            <c:v>JB FCF</c:v>
          </c:tx>
          <c:spPr>
            <a:ln xmlns:a="http://schemas.openxmlformats.org/drawingml/2006/main" w="19050">
              <a:solidFill>
                <a:srgbClr val="067A81"/>
              </a:solidFill>
              <a:prstDash val="solid"/>
            </a:ln>
          </c:spPr>
          <c:marker>
            <c:symbol val="none"/>
          </c:marker>
          <c:cat>
            <c:strRef>
              <c:f>'Forecast summary'!$J$45:$J$49</c:f>
              <c:strCache>
                <c:ptCount val="0"/>
              </c:strCache>
            </c:strRef>
          </c:cat>
          <c:val>
            <c:numRef>
              <c:f>'Forecast summary'!$L$45:$L$49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42</xdr:row>
      <xdr:rowOff>0</xdr:rowOff>
    </xdr:from>
    <xdr:to>
      <xdr:col>8</xdr:col>
      <xdr:colOff>0</xdr:colOff>
      <xdr:row>59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e922b844114636"/>
        </a:graphicData>
      </a:graphic>
    </xdr:graphicFrame>
    <xdr:clientData/>
  </xdr:twoCellAnchor>
</xdr:wsDr>
</file>

<file path=xl/drawings/drawing2.xml><?xml version="1.0" encoding="utf-8"?>
<xdr:wsDr xmlns:xdr="http://schemas.openxmlformats.org/drawingml/2006/spreadsheetDrawing">
  <xdr:twoCellAnchor>
    <xdr:from>
      <xdr:col>1</xdr:col>
      <xdr:colOff>0</xdr:colOff>
      <xdr:row>42</xdr:row>
      <xdr:rowOff>0</xdr:rowOff>
    </xdr:from>
    <xdr:to>
      <xdr:col>9</xdr:col>
      <xdr:colOff>0</xdr:colOff>
      <xdr:row>58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837267605447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614c697ea0540bd" /></Relationships>
</file>

<file path=xl/worksheets/_rels/sheet7.xml.rels>&#65279;<?xml version="1.0" encoding="utf-8"?><Relationships xmlns="http://schemas.openxmlformats.org/package/2006/relationships"><Relationship Type="http://schemas.openxmlformats.org/officeDocument/2006/relationships/drawing" Target="/xl/drawings/drawing2.xml" Id="Rf21f559de9104b8e" /></Relationships>
</file>

<file path=xl/worksheets/sheet1.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19" hidden="0" customWidth="1"/>
    <x:col min="11" max="11" width="18" hidden="0" customWidth="1"/>
    <x:col min="12" max="12" width="18"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Pharma × JB Pharma</x:v>
      </x:c>
      <x:c r="C2" s="5"/>
      <x:c r="D2" s="5"/>
      <x:c r="E2" s="5"/>
      <x:c r="F2" s="5"/>
      <x:c r="G2" s="5"/>
      <x:c r="H2" s="2"/>
      <x:c r="I2" s="2"/>
      <x:c r="J2" s="2"/>
    </x:row>
    <x:row r="3" ht="30" customHeight="1">
      <x:c r="A3" s="2"/>
      <x:c r="B3" s="8" t="str">
        <x:v>Step 2 • Case date: 29 June 2025 • Consolidated actuals • INR crore, except ratios and EPS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TORRENT PHARMA</x:v>
      </x:c>
      <x:c r="C6" s="18"/>
      <x:c r="D6" s="18"/>
      <x:c r="E6" s="18"/>
      <x:c r="F6" s="18"/>
      <x:c r="G6" s="18"/>
      <x:c r="H6" s="2"/>
      <x:c r="I6" s="2"/>
      <x:c r="J6" s="2"/>
    </x:row>
    <x:row r="7" ht="22" customHeight="1">
      <x:c r="A7" s="2"/>
      <x:c r="B7" s="38" t="str">
        <x:v>Revenue</x:v>
      </x:c>
      <x:c r="C7" s="41" t="n">
        <x:f>'Torrent history'!C7</x:f>
        <x:v>8004.83</x:v>
      </x:c>
      <x:c r="D7" s="41" t="n">
        <x:f>'Torrent history'!D7</x:f>
        <x:v>8508.04</x:v>
      </x:c>
      <x:c r="E7" s="41" t="n">
        <x:f>'Torrent history'!E7</x:f>
        <x:v>9620.15</x:v>
      </x:c>
      <x:c r="F7" s="41" t="n">
        <x:f>'Torrent history'!F7</x:f>
        <x:v>10727.84</x:v>
      </x:c>
      <x:c r="G7" s="41" t="n">
        <x:f>'Torrent history'!G7</x:f>
        <x:v>11516.09</x:v>
      </x:c>
      <x:c r="H7" s="2"/>
      <x:c r="I7" s="2"/>
      <x:c r="J7" s="2"/>
    </x:row>
    <x:row r="8" ht="22" customHeight="1">
      <x:c r="A8" s="2"/>
      <x:c r="B8" s="2" t="str">
        <x:v>Revenue growth</x:v>
      </x:c>
      <x:c r="C8" s="29" t="str">
        <x:f>'Torrent history'!C8</x:f>
        <x:v>n/a</x:v>
      </x:c>
      <x:c r="D8" s="29" t="n">
        <x:f>'Torrent history'!D8</x:f>
        <x:v>0.06286329628486809</x:v>
      </x:c>
      <x:c r="E8" s="29" t="n">
        <x:f>'Torrent history'!E8</x:f>
        <x:v>0.1307128316274957</x:v>
      </x:c>
      <x:c r="F8" s="29" t="n">
        <x:f>'Torrent history'!F8</x:f>
        <x:v>0.11514269528021925</x:v>
      </x:c>
      <x:c r="G8" s="29" t="n">
        <x:f>'Torrent history'!G8</x:f>
        <x:v>0.07347704663753385</x:v>
      </x:c>
      <x:c r="H8" s="2"/>
      <x:c r="I8" s="2"/>
      <x:c r="J8" s="2"/>
    </x:row>
    <x:row r="9" ht="22" customHeight="1">
      <x:c r="A9" s="2"/>
      <x:c r="B9" s="38" t="str">
        <x:v>Operating EBITDA</x:v>
      </x:c>
      <x:c r="C9" s="41" t="n">
        <x:f>'Torrent history'!C14</x:f>
        <x:v>2485.6800000000003</x:v>
      </x:c>
      <x:c r="D9" s="41" t="n">
        <x:f>'Torrent history'!D14</x:f>
        <x:v>2431.270000000001</x:v>
      </x:c>
      <x:c r="E9" s="41" t="n">
        <x:f>'Torrent history'!E14</x:f>
        <x:v>2842.049999999999</x:v>
      </x:c>
      <x:c r="F9" s="41" t="n">
        <x:f>'Torrent history'!F14</x:f>
        <x:v>3367.6499999999996</x:v>
      </x:c>
      <x:c r="G9" s="41" t="n">
        <x:f>'Torrent history'!G14</x:f>
        <x:v>3720.9900000000007</x:v>
      </x:c>
      <x:c r="H9" s="2"/>
      <x:c r="I9" s="2"/>
      <x:c r="J9" s="2"/>
    </x:row>
    <x:row r="10" ht="22" customHeight="1">
      <x:c r="A10" s="2"/>
      <x:c r="B10" s="2" t="str">
        <x:v>Operating EBITDA margin</x:v>
      </x:c>
      <x:c r="C10" s="29" t="n">
        <x:f>'Torrent history'!C15</x:f>
        <x:v>0.31052252202732605</x:v>
      </x:c>
      <x:c r="D10" s="29" t="n">
        <x:f>'Torrent history'!D15</x:f>
        <x:v>0.2857614679761732</x:v>
      </x:c>
      <x:c r="E10" s="29" t="n">
        <x:f>'Torrent history'!E15</x:f>
        <x:v>0.2954267864846181</x:v>
      </x:c>
      <x:c r="F10" s="29" t="n">
        <x:f>'Torrent history'!F15</x:f>
        <x:v>0.31391687422631204</x:v>
      </x:c>
      <x:c r="G10" s="29" t="n">
        <x:f>'Torrent history'!G15</x:f>
        <x:v>0.3231122716130215</x:v>
      </x:c>
      <x:c r="H10" s="2"/>
      <x:c r="I10" s="2"/>
      <x:c r="J10" s="2"/>
    </x:row>
    <x:row r="11" ht="22" customHeight="1">
      <x:c r="A11" s="2"/>
      <x:c r="B11" s="38" t="str">
        <x:v>PAT attributable to owners</x:v>
      </x:c>
      <x:c r="C11" s="41" t="n">
        <x:f>'Torrent history'!C28</x:f>
        <x:v>1251.88</x:v>
      </x:c>
      <x:c r="D11" s="41" t="n">
        <x:f>'Torrent history'!D28</x:f>
        <x:v>777.18</x:v>
      </x:c>
      <x:c r="E11" s="41" t="n">
        <x:f>'Torrent history'!E28</x:f>
        <x:v>1245.23</x:v>
      </x:c>
      <x:c r="F11" s="41" t="n">
        <x:f>'Torrent history'!F28</x:f>
        <x:v>1656.38</x:v>
      </x:c>
      <x:c r="G11" s="41" t="n">
        <x:f>'Torrent history'!G28</x:f>
        <x:v>1911.25</x:v>
      </x:c>
      <x:c r="H11" s="2"/>
      <x:c r="I11" s="2"/>
      <x:c r="J11" s="2"/>
    </x:row>
    <x:row r="12" ht="22" customHeight="1">
      <x:c r="A12" s="2"/>
      <x:c r="B12" s="2" t="str">
        <x:v>Operating cash flow</x:v>
      </x:c>
      <x:c r="C12" s="3" t="n">
        <x:f>'Torrent history'!C55</x:f>
        <x:v>2010.69</x:v>
      </x:c>
      <x:c r="D12" s="3" t="n">
        <x:f>'Torrent history'!D55</x:f>
        <x:v>1802.99</x:v>
      </x:c>
      <x:c r="E12" s="3" t="n">
        <x:f>'Torrent history'!E55</x:f>
        <x:v>2368.13</x:v>
      </x:c>
      <x:c r="F12" s="3" t="n">
        <x:f>'Torrent history'!F55</x:f>
        <x:v>3266.08</x:v>
      </x:c>
      <x:c r="G12" s="3" t="n">
        <x:f>'Torrent history'!G55</x:f>
        <x:v>2585.11</x:v>
      </x:c>
      <x:c r="H12" s="2"/>
      <x:c r="I12" s="2"/>
      <x:c r="J12" s="2"/>
    </x:row>
    <x:row r="13" ht="22" customHeight="1">
      <x:c r="A13" s="2"/>
      <x:c r="B13" s="2" t="str">
        <x:v>Cash flow after capex</x:v>
      </x:c>
      <x:c r="C13" s="3" t="n">
        <x:f>'Torrent history'!C60</x:f>
        <x:v>1675.54</x:v>
      </x:c>
      <x:c r="D13" s="3" t="n">
        <x:f>'Torrent history'!D60</x:f>
        <x:v>1600.42</x:v>
      </x:c>
      <x:c r="E13" s="3" t="n">
        <x:f>'Torrent history'!E60</x:f>
        <x:v>1794.19</x:v>
      </x:c>
      <x:c r="F13" s="3" t="n">
        <x:f>'Torrent history'!F60</x:f>
        <x:v>2833.3</x:v>
      </x:c>
      <x:c r="G13" s="3" t="n">
        <x:f>'Torrent history'!G60</x:f>
        <x:v>1973.2400000000002</x:v>
      </x:c>
      <x:c r="H13" s="2"/>
      <x:c r="I13" s="2"/>
      <x:c r="J13" s="2"/>
    </x:row>
    <x:row r="14" ht="22" customHeight="1">
      <x:c r="A14" s="2"/>
      <x:c r="B14" s="2" t="str">
        <x:v>Net debt / (net cash), excluding leases</x:v>
      </x:c>
      <x:c r="C14" s="3" t="n">
        <x:f>'Torrent history'!C45</x:f>
        <x:v>4113.87</x:v>
      </x:c>
      <x:c r="D14" s="3" t="n">
        <x:f>'Torrent history'!D45</x:f>
        <x:v>3435.74</x:v>
      </x:c>
      <x:c r="E14" s="3" t="n">
        <x:f>'Torrent history'!E45</x:f>
        <x:v>4632.709999999999</x:v>
      </x:c>
      <x:c r="F14" s="3" t="n">
        <x:f>'Torrent history'!F45</x:f>
        <x:v>2961.32</x:v>
      </x:c>
      <x:c r="G14" s="3" t="n">
        <x:f>'Torrent history'!G45</x:f>
        <x:v>2340.4</x:v>
      </x:c>
      <x:c r="H14" s="2"/>
      <x:c r="I14" s="2"/>
      <x:c r="J14" s="2"/>
    </x:row>
    <x:row r="15" ht="22" customHeight="1">
      <x:c r="A15" s="2"/>
      <x:c r="B15" s="2" t="str">
        <x:v>Basic EPS on FY25 share basis (INR)</x:v>
      </x:c>
      <x:c r="C15" s="35" t="n">
        <x:f>'Torrent history'!C76</x:f>
        <x:v>36.98912297355817</x:v>
      </x:c>
      <x:c r="D15" s="35" t="n">
        <x:f>'Torrent history'!D76</x:f>
        <x:v>22.963228578290195</x:v>
      </x:c>
      <x:c r="E15" s="35" t="n">
        <x:f>'Torrent history'!E76</x:f>
        <x:v>36.79263635521282</x:v>
      </x:c>
      <x:c r="F15" s="35" t="n">
        <x:f>'Torrent history'!F76</x:f>
        <x:v>48.940827803736994</x:v>
      </x:c>
      <x:c r="G15" s="35" t="n">
        <x:f>'Torrent history'!G76</x:f>
        <x:v>56.47143598684621</x:v>
      </x:c>
      <x:c r="H15" s="2"/>
      <x:c r="I15" s="2"/>
      <x:c r="J15" s="2"/>
    </x:row>
    <x:row r="16" ht="22" customHeight="1">
      <x:c r="A16" s="2"/>
      <x:c r="B16" s="2"/>
      <x:c r="C16" s="3"/>
      <x:c r="D16" s="3"/>
      <x:c r="E16" s="3"/>
      <x:c r="F16" s="3"/>
      <x:c r="G16" s="3"/>
      <x:c r="H16" s="2"/>
      <x:c r="I16" s="2"/>
      <x:c r="J16" s="2"/>
    </x:row>
    <x:row r="17" ht="22" customHeight="1">
      <x:c r="A17" s="2"/>
      <x:c r="B17" s="2"/>
      <x:c r="C17" s="3"/>
      <x:c r="D17" s="3"/>
      <x:c r="E17" s="3"/>
      <x:c r="F17" s="3"/>
      <x:c r="G17" s="3"/>
      <x:c r="H17" s="2"/>
      <x:c r="I17" s="2"/>
      <x:c r="J17" s="2"/>
    </x:row>
    <x:row r="18" ht="22" customHeight="1">
      <x:c r="A18" s="2"/>
      <x:c r="B18" s="2"/>
      <x:c r="C18" s="3"/>
      <x:c r="D18" s="3"/>
      <x:c r="E18" s="3"/>
      <x:c r="F18" s="3"/>
      <x:c r="G18" s="3"/>
      <x:c r="H18" s="2"/>
      <x:c r="I18" s="2"/>
      <x:c r="J18" s="2"/>
    </x:row>
    <x:row r="19" ht="25" customHeight="1">
      <x:c r="A19" s="2"/>
      <x:c r="B19" s="17" t="str">
        <x:v>JB PHARMA</x:v>
      </x:c>
      <x:c r="C19" s="18"/>
      <x:c r="D19" s="18"/>
      <x:c r="E19" s="18"/>
      <x:c r="F19" s="18"/>
      <x:c r="G19" s="18"/>
      <x:c r="H19" s="2"/>
      <x:c r="I19" s="2"/>
      <x:c r="J19" s="2"/>
    </x:row>
    <x:row r="20" ht="22" customHeight="1">
      <x:c r="A20" s="2"/>
      <x:c r="B20" s="38" t="str">
        <x:v>Revenue</x:v>
      </x:c>
      <x:c r="C20" s="41" t="n">
        <x:f>'JB history'!C7</x:f>
        <x:v>2042.5214999999998</x:v>
      </x:c>
      <x:c r="D20" s="41" t="n">
        <x:f>'JB history'!D7</x:f>
        <x:v>2424.2438</x:v>
      </x:c>
      <x:c r="E20" s="41" t="n">
        <x:f>'JB history'!E7</x:f>
        <x:v>3149.2828000000004</x:v>
      </x:c>
      <x:c r="F20" s="41" t="n">
        <x:f>'JB history'!F7</x:f>
        <x:v>3484.1838000000002</x:v>
      </x:c>
      <x:c r="G20" s="41" t="n">
        <x:f>'JB history'!G7</x:f>
        <x:v>3917.9885999999997</x:v>
      </x:c>
      <x:c r="H20" s="2"/>
      <x:c r="I20" s="2"/>
      <x:c r="J20" s="2"/>
    </x:row>
    <x:row r="21" ht="22" customHeight="1">
      <x:c r="A21" s="2"/>
      <x:c r="B21" s="2" t="str">
        <x:v>Revenue growth</x:v>
      </x:c>
      <x:c r="C21" s="29" t="str">
        <x:f>'JB history'!C8</x:f>
        <x:v>n/a</x:v>
      </x:c>
      <x:c r="D21" s="29" t="n">
        <x:f>'JB history'!D8</x:f>
        <x:v>0.18688777572231197</x:v>
      </x:c>
      <x:c r="E21" s="29" t="n">
        <x:f>'JB history'!E8</x:f>
        <x:v>0.29907841777299793</x:v>
      </x:c>
      <x:c r="F21" s="29" t="n">
        <x:f>'JB history'!F8</x:f>
        <x:v>0.10634198999213407</x:v>
      </x:c>
      <x:c r="G21" s="29" t="n">
        <x:f>'JB history'!G8</x:f>
        <x:v>0.12450686441972425</x:v>
      </x:c>
      <x:c r="H21" s="2"/>
      <x:c r="I21" s="2"/>
      <x:c r="J21" s="2"/>
    </x:row>
    <x:row r="22" ht="22" customHeight="1">
      <x:c r="A22" s="2"/>
      <x:c r="B22" s="38" t="str">
        <x:v>Operating EBITDA</x:v>
      </x:c>
      <x:c r="C22" s="41" t="n">
        <x:f>'JB history'!C14</x:f>
        <x:v>560.4089000000001</x:v>
      </x:c>
      <x:c r="D22" s="41" t="n">
        <x:f>'JB history'!D14</x:f>
        <x:v>543.4561000000001</x:v>
      </x:c>
      <x:c r="E22" s="41" t="n">
        <x:f>'JB history'!E14</x:f>
        <x:v>695.7525000000004</x:v>
      </x:c>
      <x:c r="F22" s="41" t="n">
        <x:f>'JB history'!F14</x:f>
        <x:v>896.8903000000005</x:v>
      </x:c>
      <x:c r="G22" s="41" t="n">
        <x:f>'JB history'!G14</x:f>
        <x:v>1031.8384999999998</x:v>
      </x:c>
      <x:c r="H22" s="2"/>
      <x:c r="I22" s="2"/>
      <x:c r="J22" s="2"/>
    </x:row>
    <x:row r="23" ht="22" customHeight="1">
      <x:c r="A23" s="2"/>
      <x:c r="B23" s="2" t="str">
        <x:v>Operating EBITDA margin</x:v>
      </x:c>
      <x:c r="C23" s="29" t="n">
        <x:f>'JB history'!C15</x:f>
        <x:v>0.27437111433098754</x:v>
      </x:c>
      <x:c r="D23" s="29" t="n">
        <x:f>'JB history'!D15</x:f>
        <x:v>0.22417551403039582</x:v>
      </x:c>
      <x:c r="E23" s="29" t="n">
        <x:f>'JB history'!E15</x:f>
        <x:v>0.22092411008627116</x:v>
      </x:c>
      <x:c r="F23" s="29" t="n">
        <x:f>'JB history'!F15</x:f>
        <x:v>0.25741761958711834</x:v>
      </x:c>
      <x:c r="G23" s="29" t="n">
        <x:f>'JB history'!G15</x:f>
        <x:v>0.2633592399937049</x:v>
      </x:c>
      <x:c r="H23" s="2"/>
      <x:c r="I23" s="2"/>
      <x:c r="J23" s="2"/>
    </x:row>
    <x:row r="24" ht="22" customHeight="1">
      <x:c r="A24" s="2"/>
      <x:c r="B24" s="38" t="str">
        <x:v>PAT attributable to owners</x:v>
      </x:c>
      <x:c r="C24" s="41" t="n">
        <x:f>'JB history'!C28</x:f>
        <x:v>447.9636</x:v>
      </x:c>
      <x:c r="D24" s="41" t="n">
        <x:f>'JB history'!D28</x:f>
        <x:v>385.3574</x:v>
      </x:c>
      <x:c r="E24" s="41" t="n">
        <x:f>'JB history'!E28</x:f>
        <x:v>409.8355</x:v>
      </x:c>
      <x:c r="F24" s="41" t="n">
        <x:f>'JB history'!F28</x:f>
        <x:v>552.6278</x:v>
      </x:c>
      <x:c r="G24" s="41" t="n">
        <x:f>'JB history'!G28</x:f>
        <x:v>659.5817999999999</x:v>
      </x:c>
      <x:c r="H24" s="2"/>
      <x:c r="I24" s="2"/>
      <x:c r="J24" s="2"/>
    </x:row>
    <x:row r="25" ht="22" customHeight="1">
      <x:c r="A25" s="2"/>
      <x:c r="B25" s="2" t="str">
        <x:v>Operating cash flow</x:v>
      </x:c>
      <x:c r="C25" s="3" t="n">
        <x:f>'JB history'!C55</x:f>
        <x:v>314.7849</x:v>
      </x:c>
      <x:c r="D25" s="3" t="n">
        <x:f>'JB history'!D55</x:f>
        <x:v>170.1345</x:v>
      </x:c>
      <x:c r="E25" s="3" t="n">
        <x:f>'JB history'!E55</x:f>
        <x:v>625.6120999999999</x:v>
      </x:c>
      <x:c r="F25" s="3" t="n">
        <x:f>'JB history'!F55</x:f>
        <x:v>800.6116999999999</x:v>
      </x:c>
      <x:c r="G25" s="3" t="n">
        <x:f>'JB history'!G55</x:f>
        <x:v>902.4498</x:v>
      </x:c>
      <x:c r="H25" s="2"/>
      <x:c r="I25" s="2"/>
      <x:c r="J25" s="2"/>
    </x:row>
    <x:row r="26" ht="22" customHeight="1">
      <x:c r="A26" s="2"/>
      <x:c r="B26" s="2" t="str">
        <x:v>Cash flow after capex</x:v>
      </x:c>
      <x:c r="C26" s="3" t="n">
        <x:f>'JB history'!C60</x:f>
        <x:v>267.01189999999997</x:v>
      </x:c>
      <x:c r="D26" s="3" t="n">
        <x:f>'JB history'!D60</x:f>
        <x:v>-536.6546999999999</x:v>
      </x:c>
      <x:c r="E26" s="3" t="n">
        <x:f>'JB history'!E60</x:f>
        <x:v>-139.33489999999995</x:v>
      </x:c>
      <x:c r="F26" s="3" t="n">
        <x:f>'JB history'!F60</x:f>
        <x:v>539.2447</x:v>
      </x:c>
      <x:c r="G26" s="3" t="n">
        <x:f>'JB history'!G60</x:f>
        <x:v>782.1437</x:v>
      </x:c>
      <x:c r="H26" s="2"/>
      <x:c r="I26" s="2"/>
      <x:c r="J26" s="2"/>
    </x:row>
    <x:row r="27" ht="22" customHeight="1">
      <x:c r="A27" s="2"/>
      <x:c r="B27" s="2" t="str">
        <x:v>Net debt / (net cash), excluding leases</x:v>
      </x:c>
      <x:c r="C27" s="3" t="n">
        <x:f>'JB history'!C45</x:f>
        <x:v>-661.0156999999999</x:v>
      </x:c>
      <x:c r="D27" s="3" t="n">
        <x:f>'JB history'!D45</x:f>
        <x:v>-30.2291</x:v>
      </x:c>
      <x:c r="E27" s="3" t="n">
        <x:f>'JB history'!E45</x:f>
        <x:v>279.1194</x:v>
      </x:c>
      <x:c r="F27" s="3" t="n">
        <x:f>'JB history'!F45</x:f>
        <x:v>-95.72419999999994</x:v>
      </x:c>
      <x:c r="G27" s="3" t="n">
        <x:f>'JB history'!G45</x:f>
        <x:v>-418.39570000000003</x:v>
      </x:c>
      <x:c r="H27" s="2"/>
      <x:c r="I27" s="2"/>
      <x:c r="J27" s="2"/>
    </x:row>
    <x:row r="28" ht="22" customHeight="1">
      <x:c r="A28" s="2"/>
      <x:c r="B28" s="2" t="str">
        <x:v>Basic EPS on FY25 share basis (INR)</x:v>
      </x:c>
      <x:c r="C28" s="35" t="n">
        <x:f>'JB history'!C76</x:f>
        <x:v>28.982365734718613</x:v>
      </x:c>
      <x:c r="D28" s="35" t="n">
        <x:f>'JB history'!D76</x:f>
        <x:v>24.931867467312642</x:v>
      </x:c>
      <x:c r="E28" s="35" t="n">
        <x:f>'JB history'!E76</x:f>
        <x:v>26.500842321425303</x:v>
      </x:c>
      <x:c r="F28" s="35" t="n">
        <x:f>'JB history'!F76</x:f>
        <x:v>35.664561175879</x:v>
      </x:c>
      <x:c r="G28" s="35" t="n">
        <x:f>'JB history'!G76</x:f>
        <x:v>42.45375822384845</x:v>
      </x:c>
      <x:c r="H28" s="2"/>
      <x:c r="I28" s="2"/>
      <x:c r="J28" s="2"/>
    </x:row>
    <x:row r="29" ht="22" customHeight="1">
      <x:c r="A29" s="2"/>
      <x:c r="B29" s="2"/>
      <x:c r="C29" s="3"/>
      <x:c r="D29" s="3"/>
      <x:c r="E29" s="3"/>
      <x:c r="F29" s="3"/>
      <x:c r="G29" s="3"/>
      <x:c r="H29" s="2"/>
      <x:c r="I29" s="2"/>
      <x:c r="J29" s="2"/>
    </x:row>
    <x:row r="30" ht="22" customHeight="1">
      <x:c r="A30" s="2"/>
      <x:c r="B30" s="2"/>
      <x:c r="C30" s="3"/>
      <x:c r="D30" s="3"/>
      <x:c r="E30" s="3"/>
      <x:c r="F30" s="3"/>
      <x:c r="G30" s="3"/>
      <x:c r="H30" s="2"/>
      <x:c r="I30" s="2"/>
      <x:c r="J30" s="2"/>
    </x:row>
    <x:row r="31" ht="25" customHeight="1">
      <x:c r="A31" s="2"/>
      <x:c r="B31" s="17" t="str">
        <x:v>FY25 SNAPSHOT &amp; HISTORICAL GROWTH</x:v>
      </x:c>
      <x:c r="C31" s="18"/>
      <x:c r="D31" s="18"/>
      <x:c r="E31" s="18"/>
      <x:c r="F31" s="18"/>
      <x:c r="G31" s="18"/>
      <x:c r="H31" s="2"/>
      <x:c r="I31" s="2"/>
      <x:c r="J31" s="2"/>
    </x:row>
    <x:row r="32" ht="25" customHeight="1">
      <x:c r="A32" s="2"/>
      <x:c r="B32" s="2" t="str">
        <x:v>Company</x:v>
      </x:c>
      <x:c r="C32" s="3" t="str">
        <x:v>Torrent</x:v>
      </x:c>
      <x:c r="D32" s="3" t="str">
        <x:v>JB</x:v>
      </x:c>
      <x:c r="E32" s="3"/>
      <x:c r="F32" s="3"/>
      <x:c r="G32" s="3"/>
      <x:c r="H32" s="2"/>
      <x:c r="I32" s="2"/>
      <x:c r="J32" s="2"/>
    </x:row>
    <x:row r="33" ht="25" customHeight="1">
      <x:c r="A33" s="2"/>
      <x:c r="B33" s="2" t="str">
        <x:v>Revenue CAGR, FY21–FY25</x:v>
      </x:c>
      <x:c r="C33" s="29" t="n">
        <x:f>('Torrent history'!G7/'Torrent history'!C7)^(1/4)-1</x:f>
        <x:v>0.09518688463919767</x:v>
      </x:c>
      <x:c r="D33" s="29" t="n">
        <x:f>('JB history'!G7/'JB history'!C7)^(1/4)-1</x:f>
        <x:v>0.17685818673684217</x:v>
      </x:c>
      <x:c r="E33" s="3"/>
      <x:c r="F33" s="3"/>
      <x:c r="G33" s="3"/>
      <x:c r="H33" s="2"/>
      <x:c r="I33" s="2"/>
      <x:c r="J33" s="2"/>
    </x:row>
    <x:row r="34" ht="25" customHeight="1">
      <x:c r="A34" s="2"/>
      <x:c r="B34" s="2" t="str">
        <x:v>EBITDA CAGR, FY21–FY25</x:v>
      </x:c>
      <x:c r="C34" s="29" t="n">
        <x:f>('Torrent history'!G14/'Torrent history'!C14)^(1/4)-1</x:f>
        <x:v>0.10612274116319509</x:v>
      </x:c>
      <x:c r="D34" s="29" t="n">
        <x:f>('JB history'!G14/'JB history'!C14)^(1/4)-1</x:f>
        <x:v>0.16486789579925176</x:v>
      </x:c>
      <x:c r="E34" s="3"/>
      <x:c r="F34" s="3"/>
      <x:c r="G34" s="3"/>
      <x:c r="H34" s="2"/>
      <x:c r="I34" s="2"/>
      <x:c r="J34" s="2"/>
    </x:row>
    <x:row r="35" ht="25" customHeight="1">
      <x:c r="A35" s="2"/>
      <x:c r="B35" s="2" t="str">
        <x:v>India business / total revenue</x:v>
      </x:c>
      <x:c r="C35" s="29" t="n">
        <x:f>'Torrent inputs'!G67/'Torrent inputs'!$C$64/'Torrent history'!G7</x:f>
        <x:v>0.5551363353360386</x:v>
      </x:c>
      <x:c r="D35" s="29" t="n">
        <x:f>'JB inputs'!G67/'JB inputs'!$C$64/'JB history'!G7</x:f>
        <x:v>0.5790727926058795</x:v>
      </x:c>
      <x:c r="E35" s="3"/>
      <x:c r="F35" s="3"/>
      <x:c r="G35" s="3"/>
      <x:c r="H35" s="2"/>
      <x:c r="I35" s="2"/>
      <x:c r="J35" s="2"/>
    </x:row>
    <x:row r="36" ht="25" customHeight="1">
      <x:c r="A36" s="2"/>
      <x:c r="B36" s="2" t="str">
        <x:v>EBITDA margin before ESOP</x:v>
      </x:c>
      <x:c r="C36" s="29" t="n">
        <x:f>'Torrent history'!G18</x:f>
        <x:v>0.3231122716130215</x:v>
      </x:c>
      <x:c r="D36" s="29" t="n">
        <x:f>'JB history'!G18</x:f>
        <x:v>0.2773721955188945</x:v>
      </x:c>
      <x:c r="E36" s="3"/>
      <x:c r="F36" s="3"/>
      <x:c r="G36" s="3"/>
      <x:c r="H36" s="2"/>
      <x:c r="I36" s="2"/>
      <x:c r="J36" s="2"/>
    </x:row>
    <x:row r="37" ht="25" customHeight="1">
      <x:c r="A37" s="2"/>
      <x:c r="B37" s="2" t="str">
        <x:v>Operating cash flow / operating EBITDA</x:v>
      </x:c>
      <x:c r="C37" s="29" t="n">
        <x:f>'Torrent history'!G56</x:f>
        <x:v>0.6947371532844753</x:v>
      </x:c>
      <x:c r="D37" s="29" t="n">
        <x:f>'JB history'!G56</x:f>
        <x:v>0.8746037291688574</x:v>
      </x:c>
      <x:c r="E37" s="3"/>
      <x:c r="F37" s="3"/>
      <x:c r="G37" s="3"/>
      <x:c r="H37" s="2"/>
      <x:c r="I37" s="2"/>
      <x:c r="J37" s="2"/>
    </x:row>
    <x:row r="38" ht="22" customHeight="1">
      <x:c r="A38" s="2"/>
      <x:c r="B38" s="2"/>
      <x:c r="C38" s="3"/>
      <x:c r="D38" s="3"/>
      <x:c r="E38" s="3"/>
      <x:c r="F38" s="3"/>
      <x:c r="G38" s="3"/>
      <x:c r="H38" s="2"/>
      <x:c r="I38" s="2"/>
      <x:c r="J38" s="2"/>
    </x:row>
    <x:row r="39" ht="42" customHeight="1">
      <x:c r="A39" s="2"/>
      <x:c r="B39" s="8" t="str">
        <x:v>Start with the Walkthrough tab. Source inputs preserve each report’s original units; the history tabs convert all monetary figures to INR crore and calculate the analysis.</x:v>
      </x:c>
      <x:c r="C39" s="9"/>
      <x:c r="D39" s="9"/>
      <x:c r="E39" s="9"/>
      <x:c r="F39" s="9"/>
      <x:c r="G39" s="9"/>
      <x:c r="H39" s="2"/>
      <x:c r="I39" s="2"/>
      <x:c r="J39" s="2"/>
    </x:row>
    <x:row r="40" ht="38" customHeight="1">
      <x:c r="A40" s="2"/>
      <x:c r="B40" s="8" t="str">
        <x:v>The historical base separates reported operating earnings, ESOP adjustments, acquisition spending and cash definitions before forecasting the transaction.</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t="str">
        <x:v>Chart data (linked)</x:v>
      </x:c>
    </x:row>
    <x:row r="44" ht="22" customHeight="1">
      <x:c r="A44" s="2"/>
      <x:c r="B44" s="2"/>
      <x:c r="C44" s="3"/>
      <x:c r="D44" s="3"/>
      <x:c r="E44" s="3"/>
      <x:c r="F44" s="3"/>
      <x:c r="G44" s="3"/>
      <x:c r="H44" s="2"/>
      <x:c r="I44" s="2"/>
      <x:c r="J44" s="2" t="str">
        <x:v>Year</x:v>
      </x:c>
      <x:c r="K44" t="str">
        <x:v>Torrent margin</x:v>
      </x:c>
      <x:c r="L44" t="str">
        <x:v>JB margin</x:v>
      </x:c>
    </x:row>
    <x:row r="45" ht="22" customHeight="1">
      <x:c r="A45" s="2"/>
      <x:c r="B45" s="2"/>
      <x:c r="C45" s="3"/>
      <x:c r="D45" s="3"/>
      <x:c r="E45" s="3"/>
      <x:c r="F45" s="3"/>
      <x:c r="G45" s="3"/>
      <x:c r="H45" s="2"/>
      <x:c r="I45" s="2"/>
      <x:c r="J45" s="2" t="str">
        <x:v>FY21</x:v>
      </x:c>
      <x:c r="K45" s="44" t="n">
        <x:f>'Torrent history'!C15</x:f>
        <x:v>0.31052252202732605</x:v>
      </x:c>
      <x:c r="L45" s="44" t="n">
        <x:f>'JB history'!C15</x:f>
        <x:v>0.27437111433098754</x:v>
      </x:c>
    </x:row>
    <x:row r="46" ht="22" customHeight="1">
      <x:c r="A46" s="2"/>
      <x:c r="B46" s="2"/>
      <x:c r="C46" s="3"/>
      <x:c r="D46" s="3"/>
      <x:c r="E46" s="3"/>
      <x:c r="F46" s="3"/>
      <x:c r="G46" s="3"/>
      <x:c r="H46" s="2"/>
      <x:c r="I46" s="2"/>
      <x:c r="J46" s="2" t="str">
        <x:v>FY22</x:v>
      </x:c>
      <x:c r="K46" s="44" t="n">
        <x:f>'Torrent history'!D15</x:f>
        <x:v>0.2857614679761732</x:v>
      </x:c>
      <x:c r="L46" s="44" t="n">
        <x:f>'JB history'!D15</x:f>
        <x:v>0.22417551403039582</x:v>
      </x:c>
    </x:row>
    <x:row r="47" ht="22" customHeight="1">
      <x:c r="A47" s="2"/>
      <x:c r="B47" s="2"/>
      <x:c r="C47" s="3"/>
      <x:c r="D47" s="3"/>
      <x:c r="E47" s="3"/>
      <x:c r="F47" s="3"/>
      <x:c r="G47" s="3"/>
      <x:c r="H47" s="2"/>
      <x:c r="I47" s="2"/>
      <x:c r="J47" s="2" t="str">
        <x:v>FY23</x:v>
      </x:c>
      <x:c r="K47" s="44" t="n">
        <x:f>'Torrent history'!E15</x:f>
        <x:v>0.2954267864846181</x:v>
      </x:c>
      <x:c r="L47" s="44" t="n">
        <x:f>'JB history'!E15</x:f>
        <x:v>0.22092411008627116</x:v>
      </x:c>
    </x:row>
    <x:row r="48" ht="22" customHeight="1">
      <x:c r="A48" s="2"/>
      <x:c r="B48" s="2"/>
      <x:c r="C48" s="3"/>
      <x:c r="D48" s="3"/>
      <x:c r="E48" s="3"/>
      <x:c r="F48" s="3"/>
      <x:c r="G48" s="3"/>
      <x:c r="H48" s="2"/>
      <x:c r="I48" s="2"/>
      <x:c r="J48" s="2" t="str">
        <x:v>FY24</x:v>
      </x:c>
      <x:c r="K48" s="44" t="n">
        <x:f>'Torrent history'!F15</x:f>
        <x:v>0.31391687422631204</x:v>
      </x:c>
      <x:c r="L48" s="44" t="n">
        <x:f>'JB history'!F15</x:f>
        <x:v>0.25741761958711834</x:v>
      </x:c>
    </x:row>
    <x:row r="49" ht="22" customHeight="1">
      <x:c r="A49" s="2"/>
      <x:c r="B49" s="2"/>
      <x:c r="C49" s="3"/>
      <x:c r="D49" s="3"/>
      <x:c r="E49" s="3"/>
      <x:c r="F49" s="3"/>
      <x:c r="G49" s="3"/>
      <x:c r="H49" s="2"/>
      <x:c r="I49" s="2"/>
      <x:c r="J49" s="2" t="str">
        <x:v>FY25</x:v>
      </x:c>
      <x:c r="K49" s="44" t="n">
        <x:f>'Torrent history'!G15</x:f>
        <x:v>0.3231122716130215</x:v>
      </x:c>
      <x:c r="L49" s="44" t="n">
        <x:f>'JB history'!G15</x:f>
        <x:v>0.2633592399937049</x:v>
      </x:c>
    </x:row>
    <x:row r="50" ht="22" customHeight="1">
      <x:c r="A50" s="2"/>
      <x:c r="B50" s="2"/>
      <x:c r="C50" s="3"/>
      <x:c r="D50" s="3"/>
      <x:c r="E50" s="3"/>
      <x:c r="F50" s="3"/>
      <x:c r="G50" s="3"/>
      <x:c r="H50" s="2"/>
      <x:c r="I50" s="2"/>
      <x:c r="J50" s="2"/>
    </x:row>
    <x:row r="51" ht="22" customHeight="1">
      <x:c r="A51" s="2"/>
      <x:c r="B51" s="2"/>
      <x:c r="C51" s="3"/>
      <x:c r="D51" s="3"/>
      <x:c r="E51" s="3"/>
      <x:c r="F51" s="3"/>
      <x:c r="G51" s="3"/>
      <x:c r="H51" s="2"/>
      <x:c r="I51" s="2"/>
      <x:c r="J51" s="2"/>
    </x:row>
    <x:row r="52" ht="22" customHeight="1">
      <x:c r="A52" s="2"/>
      <x:c r="B52" s="2"/>
      <x:c r="C52" s="3"/>
      <x:c r="D52" s="3"/>
      <x:c r="E52" s="3"/>
      <x:c r="F52" s="3"/>
      <x:c r="G52" s="3"/>
      <x:c r="H52" s="2"/>
      <x:c r="I52" s="2"/>
      <x:c r="J52" s="2"/>
    </x:row>
    <x:row r="53" ht="22" customHeight="1">
      <x:c r="A53" s="2"/>
      <x:c r="B53" s="2"/>
      <x:c r="C53" s="3"/>
      <x:c r="D53" s="3"/>
      <x:c r="E53" s="3"/>
      <x:c r="F53" s="3"/>
      <x:c r="G53" s="3"/>
      <x:c r="H53" s="2"/>
      <x:c r="I53" s="2"/>
      <x:c r="J53" s="2"/>
    </x:row>
    <x:row r="54" ht="22" customHeight="1">
      <x:c r="A54" s="2"/>
      <x:c r="B54" s="2"/>
      <x:c r="C54" s="3"/>
      <x:c r="D54" s="3"/>
      <x:c r="E54" s="3"/>
      <x:c r="F54" s="3"/>
      <x:c r="G54" s="3"/>
      <x:c r="H54" s="2"/>
      <x:c r="I54" s="2"/>
      <x:c r="J54" s="2"/>
    </x:row>
    <x:row r="55" ht="22" customHeight="1">
      <x:c r="A55" s="2"/>
      <x:c r="B55" s="2"/>
      <x:c r="C55" s="3"/>
      <x:c r="D55" s="3"/>
      <x:c r="E55" s="3"/>
      <x:c r="F55" s="3"/>
      <x:c r="G55" s="3"/>
      <x:c r="H55" s="2"/>
      <x:c r="I55" s="2"/>
      <x:c r="J55" s="2"/>
    </x:row>
    <x:row r="56" ht="22" customHeight="1">
      <x:c r="A56" s="2"/>
      <x:c r="B56" s="2"/>
      <x:c r="C56" s="3"/>
      <x:c r="D56" s="3"/>
      <x:c r="E56" s="3"/>
      <x:c r="F56" s="3"/>
      <x:c r="G56" s="3"/>
      <x:c r="H56" s="2"/>
      <x:c r="I56" s="2"/>
      <x:c r="J56" s="2"/>
    </x:row>
    <x:row r="57" ht="22" customHeight="1">
      <x:c r="A57" s="2"/>
      <x:c r="B57" s="2"/>
      <x:c r="C57" s="3"/>
      <x:c r="D57" s="3"/>
      <x:c r="E57" s="3"/>
      <x:c r="F57" s="3"/>
      <x:c r="G57" s="3"/>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38" customHeight="1">
      <x:c r="A61" s="2"/>
      <x:c r="B61" s="8" t="str">
        <x:v>Reading the trend: margins above include ESOP expense. Acquisition-led growth and changes in brand amortisation require separate judgement before setting forecast assumptions.</x:v>
      </x:c>
      <x:c r="C61" s="9"/>
      <x:c r="D61" s="9"/>
      <x:c r="E61" s="9"/>
      <x:c r="F61" s="9"/>
      <x:c r="G61" s="9"/>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36" customHeight="1">
      <x:c r="A64" s="2"/>
      <x:c r="B64" s="83" t="str">
        <x:v>Step 3 is now in Forecast summary, Assumptions, Torrent forecast and JB forecast.</x:v>
      </x:c>
      <x:c r="C64" s="84"/>
      <x:c r="D64" s="84"/>
      <x:c r="E64" s="84"/>
      <x:c r="F64" s="84"/>
      <x:c r="G64" s="84"/>
      <x:c r="H64" s="2"/>
      <x:c r="I64" s="2"/>
      <x:c r="J64" s="2"/>
    </x:row>
    <x:row r="65" ht="22" customHeight="1">
      <x:c r="A65" s="2"/>
      <x:c r="B65" s="2"/>
      <x:c r="C65" s="3"/>
      <x:c r="D65" s="3"/>
      <x:c r="E65" s="3"/>
      <x:c r="F65" s="3"/>
      <x:c r="G65" s="3"/>
      <x:c r="H65" s="2"/>
      <x:c r="I65" s="2"/>
      <x:c r="J65" s="2"/>
    </x:row>
    <x:row r="66" ht="37" customHeight="1">
      <x:c r="A66" s="2"/>
      <x:c r="B66" s="83" t="str">
        <x:v>Step 4: open Deal summary, Deal inputs, Sources and uses and Merger model.</x:v>
      </x:c>
      <x:c r="C66" s="84"/>
      <x:c r="D66" s="84"/>
      <x:c r="E66" s="84"/>
      <x:c r="F66" s="84"/>
      <x:c r="G66" s="84"/>
      <x:c r="H66" s="2"/>
      <x:c r="I66" s="2"/>
      <x:c r="J66" s="2"/>
    </x:row>
    <x:row r="67" ht="22" customHeight="1">
      <x:c r="A67" s="2"/>
      <x:c r="B67" s="2"/>
      <x:c r="C67" s="3"/>
      <x:c r="D67" s="3"/>
      <x:c r="E67" s="3"/>
      <x:c r="F67" s="3"/>
      <x:c r="G67" s="3"/>
      <x:c r="H67" s="2"/>
      <x:c r="I67" s="2"/>
      <x:c r="J67" s="2"/>
    </x:row>
    <x:row r="68" ht="37" customHeight="1">
      <x:c r="A68" s="2"/>
      <x:c r="B68" s="83" t="str">
        <x:v>Step 5: open DCF summary, Valuation inputs, the two DCF tabs and Synergy valuation.</x:v>
      </x:c>
      <x:c r="C68" s="84"/>
      <x:c r="D68" s="84"/>
      <x:c r="E68" s="84"/>
      <x:c r="F68" s="84"/>
      <x:c r="G68" s="84"/>
      <x:c r="H68" s="2"/>
      <x:c r="I68" s="2"/>
      <x:c r="J68" s="2"/>
    </x:row>
    <x:row r="69" ht="22" customHeight="1">
      <x:c r="A69" s="2"/>
      <x:c r="B69" s="2"/>
      <x:c r="C69" s="3"/>
      <x:c r="D69" s="3"/>
      <x:c r="E69" s="3"/>
      <x:c r="F69" s="3"/>
      <x:c r="G69" s="3"/>
      <x:c r="H69" s="2"/>
      <x:c r="I69" s="2"/>
      <x:c r="J69" s="2"/>
    </x:row>
    <x:row r="70" ht="43" customHeight="1">
      <x:c r="A70" s="2"/>
      <x:c r="B70" s="83" t="str">
        <x:v>Final version: see DCF summary and JB growth test; read docs/Final_Investment_Report.docx for the case conclusion.</x:v>
      </x:c>
      <x:c r="C70" s="84"/>
      <x:c r="D70" s="84"/>
      <x:c r="E70" s="84"/>
      <x:c r="F70" s="84"/>
      <x:c r="G70" s="84"/>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sheetData>
  <x:mergeCells>
    <x:mergeCell ref="B2:G2"/>
    <x:mergeCell ref="B3:G3"/>
    <x:mergeCell ref="B6:G6"/>
    <x:mergeCell ref="B19:G19"/>
    <x:mergeCell ref="B31:G31"/>
    <x:mergeCell ref="B39:G39"/>
    <x:mergeCell ref="B40:G40"/>
    <x:mergeCell ref="B61:G61"/>
    <x:mergeCell ref="B64:G64"/>
    <x:mergeCell ref="B66:G66"/>
    <x:mergeCell ref="B68:G68"/>
    <x:mergeCell ref="B70:G70"/>
  </x:mergeCells>
  <x:pageMargins left="0.7" right="0.7" top="0.75" bottom="0.75" header="0.3" footer="0.3"/>
  <x:drawing xmlns:r="http://schemas.openxmlformats.org/officeDocument/2006/relationships" r:id="R9614c697ea0540bd"/>
</x:worksheet>
</file>

<file path=xl/worksheets/sheet2.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'Torrent inputs'!C7/'Torrent inputs'!$C$64</x:f>
        <x:v>8004.83</x:v>
      </x:c>
      <x:c r="D7" s="39" t="n">
        <x:f>'Torrent inputs'!D7/'Torrent inputs'!$C$64</x:f>
        <x:v>8508.04</x:v>
      </x:c>
      <x:c r="E7" s="39" t="n">
        <x:f>'Torrent inputs'!E7/'Torrent inputs'!$C$64</x:f>
        <x:v>9620.15</x:v>
      </x:c>
      <x:c r="F7" s="39" t="n">
        <x:f>'Torrent inputs'!F7/'Torrent inputs'!$C$64</x:f>
        <x:v>10727.84</x:v>
      </x:c>
      <x:c r="G7" s="39" t="n">
        <x:f>'Torrent inputs'!G7/'Torrent inputs'!$C$64</x:f>
        <x:v>11516.09</x:v>
      </x:c>
      <x:c r="H7" s="2"/>
      <x:c r="I7" s="2"/>
      <x:c r="J7" s="2"/>
    </x:row>
    <x:row r="8" ht="22" customHeight="1">
      <x:c r="A8" s="2"/>
      <x:c r="B8" s="30" t="str">
        <x:v>Revenue growth</x:v>
      </x:c>
      <x:c r="C8" s="31" t="str">
        <x:v>n/a</x:v>
      </x:c>
      <x:c r="D8" s="31" t="n">
        <x:f>D7/C7-1</x:f>
        <x:v>0.06286329628486809</x:v>
      </x:c>
      <x:c r="E8" s="31" t="n">
        <x:f>E7/D7-1</x:f>
        <x:v>0.1307128316274957</x:v>
      </x:c>
      <x:c r="F8" s="31" t="n">
        <x:f>F7/E7-1</x:f>
        <x:v>0.11514269528021925</x:v>
      </x:c>
      <x:c r="G8" s="31" t="n">
        <x:f>G7/F7-1</x:f>
        <x:v>0.07347704663753385</x:v>
      </x:c>
      <x:c r="H8" s="2"/>
      <x:c r="I8" s="2"/>
      <x:c r="J8" s="2"/>
    </x:row>
    <x:row r="9" ht="22" customHeight="1">
      <x:c r="A9" s="2"/>
      <x:c r="B9" s="2" t="str">
        <x:v>Cost of goods sold</x:v>
      </x:c>
      <x:c r="C9" s="28" t="n">
        <x:f>('Torrent inputs'!C8+'Torrent inputs'!C9+'Torrent inputs'!C10)/'Torrent inputs'!$C$64</x:f>
        <x:v>2146.42</x:v>
      </x:c>
      <x:c r="D9" s="28" t="n">
        <x:f>('Torrent inputs'!D8+'Torrent inputs'!D9+'Torrent inputs'!D10)/'Torrent inputs'!$C$64</x:f>
        <x:v>2442.01</x:v>
      </x:c>
      <x:c r="E9" s="28" t="n">
        <x:f>('Torrent inputs'!E8+'Torrent inputs'!E9+'Torrent inputs'!E10)/'Torrent inputs'!$C$64</x:f>
        <x:v>2735.19</x:v>
      </x:c>
      <x:c r="F9" s="28" t="n">
        <x:f>('Torrent inputs'!F8+'Torrent inputs'!F9+'Torrent inputs'!F10)/'Torrent inputs'!$C$64</x:f>
        <x:v>2686.21</x:v>
      </x:c>
      <x:c r="G9" s="28" t="n">
        <x:f>('Torrent inputs'!G8+'Torrent inputs'!G9+'Torrent inputs'!G10)/'Torrent inputs'!$C$64</x:f>
        <x:v>2775.8999999999996</x:v>
      </x:c>
      <x:c r="H9" s="2"/>
      <x:c r="I9" s="2"/>
      <x:c r="J9" s="2"/>
    </x:row>
    <x:row r="10" ht="22" customHeight="1">
      <x:c r="A10" s="2"/>
      <x:c r="B10" s="38" t="str">
        <x:v>Gross profit</x:v>
      </x:c>
      <x:c r="C10" s="41" t="n">
        <x:f>C7-C9</x:f>
        <x:v>5858.41</x:v>
      </x:c>
      <x:c r="D10" s="41" t="n">
        <x:f>D7-D9</x:f>
        <x:v>6066.030000000001</x:v>
      </x:c>
      <x:c r="E10" s="41" t="n">
        <x:f>E7-E9</x:f>
        <x:v>6884.959999999999</x:v>
      </x:c>
      <x:c r="F10" s="41" t="n">
        <x:f>F7-F9</x:f>
        <x:v>8041.63</x:v>
      </x:c>
      <x:c r="G10" s="41" t="n">
        <x:f>G7-G9</x:f>
        <x:v>8740.19</x:v>
      </x:c>
      <x:c r="H10" s="2"/>
      <x:c r="I10" s="2"/>
      <x:c r="J10" s="2"/>
    </x:row>
    <x:row r="11" ht="22" customHeight="1">
      <x:c r="A11" s="2"/>
      <x:c r="B11" s="30" t="str">
        <x:v>Gross margin</x:v>
      </x:c>
      <x:c r="C11" s="31" t="n">
        <x:f>C10/C7</x:f>
        <x:v>0.7318593898933519</x:v>
      </x:c>
      <x:c r="D11" s="31" t="n">
        <x:f>D10/D7</x:f>
        <x:v>0.712976196632832</x:v>
      </x:c>
      <x:c r="E11" s="31" t="n">
        <x:f>E10/E7</x:f>
        <x:v>0.7156811484228416</x:v>
      </x:c>
      <x:c r="F11" s="31" t="n">
        <x:f>F10/F7</x:f>
        <x:v>0.7496038345090904</x:v>
      </x:c>
      <x:c r="G11" s="31" t="n">
        <x:f>G10/G7</x:f>
        <x:v>0.7589546451964165</x:v>
      </x:c>
      <x:c r="H11" s="2"/>
      <x:c r="I11" s="2"/>
      <x:c r="J11" s="2"/>
    </x:row>
    <x:row r="12" ht="22" customHeight="1">
      <x:c r="A12" s="2"/>
      <x:c r="B12" s="2" t="str">
        <x:v>Employee expense</x:v>
      </x:c>
      <x:c r="C12" s="28" t="n">
        <x:f>'Torrent inputs'!C11/'Torrent inputs'!$C$64</x:f>
        <x:v>1439.62</x:v>
      </x:c>
      <x:c r="D12" s="28" t="n">
        <x:f>'Torrent inputs'!D11/'Torrent inputs'!$C$64</x:f>
        <x:v>1526.45</x:v>
      </x:c>
      <x:c r="E12" s="28" t="n">
        <x:f>'Torrent inputs'!E11/'Torrent inputs'!$C$64</x:f>
        <x:v>1677.69</x:v>
      </x:c>
      <x:c r="F12" s="28" t="n">
        <x:f>'Torrent inputs'!F11/'Torrent inputs'!$C$64</x:f>
        <x:v>1984.4</x:v>
      </x:c>
      <x:c r="G12" s="28" t="n">
        <x:f>'Torrent inputs'!G11/'Torrent inputs'!$C$64</x:f>
        <x:v>2203.37</x:v>
      </x:c>
      <x:c r="H12" s="2"/>
      <x:c r="I12" s="2"/>
      <x:c r="J12" s="2"/>
    </x:row>
    <x:row r="13" ht="22" customHeight="1">
      <x:c r="A13" s="2"/>
      <x:c r="B13" s="2" t="str">
        <x:v>Other operating expenses</x:v>
      </x:c>
      <x:c r="C13" s="28" t="n">
        <x:f>'Torrent inputs'!C12/'Torrent inputs'!$C$64</x:f>
        <x:v>1933.11</x:v>
      </x:c>
      <x:c r="D13" s="28" t="n">
        <x:f>'Torrent inputs'!D12/'Torrent inputs'!$C$64</x:f>
        <x:v>2108.31</x:v>
      </x:c>
      <x:c r="E13" s="28" t="n">
        <x:f>'Torrent inputs'!E12/'Torrent inputs'!$C$64</x:f>
        <x:v>2365.22</x:v>
      </x:c>
      <x:c r="F13" s="28" t="n">
        <x:f>'Torrent inputs'!F12/'Torrent inputs'!$C$64</x:f>
        <x:v>2689.58</x:v>
      </x:c>
      <x:c r="G13" s="28" t="n">
        <x:f>'Torrent inputs'!G12/'Torrent inputs'!$C$64</x:f>
        <x:v>2815.83</x:v>
      </x:c>
      <x:c r="H13" s="2"/>
      <x:c r="I13" s="2"/>
      <x:c r="J13" s="2"/>
    </x:row>
    <x:row r="14" ht="22" customHeight="1">
      <x:c r="A14" s="2"/>
      <x:c r="B14" s="38" t="str">
        <x:v>Operating EBITDA</x:v>
      </x:c>
      <x:c r="C14" s="41" t="n">
        <x:f>C10-C12-C13</x:f>
        <x:v>2485.6800000000003</x:v>
      </x:c>
      <x:c r="D14" s="41" t="n">
        <x:f>D10-D12-D13</x:f>
        <x:v>2431.270000000001</x:v>
      </x:c>
      <x:c r="E14" s="41" t="n">
        <x:f>E10-E12-E13</x:f>
        <x:v>2842.049999999999</x:v>
      </x:c>
      <x:c r="F14" s="41" t="n">
        <x:f>F10-F12-F13</x:f>
        <x:v>3367.6499999999996</x:v>
      </x:c>
      <x:c r="G14" s="41" t="n">
        <x:f>G10-G12-G13</x:f>
        <x:v>3720.9900000000007</x:v>
      </x:c>
      <x:c r="H14" s="2"/>
      <x:c r="I14" s="2"/>
      <x:c r="J14" s="2"/>
    </x:row>
    <x:row r="15" ht="22" customHeight="1">
      <x:c r="A15" s="2"/>
      <x:c r="B15" s="30" t="str">
        <x:v>Operating EBITDA margin</x:v>
      </x:c>
      <x:c r="C15" s="31" t="n">
        <x:f>C14/C7</x:f>
        <x:v>0.31052252202732605</x:v>
      </x:c>
      <x:c r="D15" s="31" t="n">
        <x:f>D14/D7</x:f>
        <x:v>0.2857614679761732</x:v>
      </x:c>
      <x:c r="E15" s="31" t="n">
        <x:f>E14/E7</x:f>
        <x:v>0.2954267864846181</x:v>
      </x:c>
      <x:c r="F15" s="31" t="n">
        <x:f>F14/F7</x:f>
        <x:v>0.31391687422631204</x:v>
      </x:c>
      <x:c r="G15" s="31" t="n">
        <x:f>G14/G7</x:f>
        <x:v>0.3231122716130215</x:v>
      </x:c>
      <x:c r="H15" s="2"/>
      <x:c r="I15" s="2"/>
      <x:c r="J15" s="2"/>
    </x:row>
    <x:row r="16" ht="22" customHeight="1">
      <x:c r="A16" s="2"/>
      <x:c r="B16" s="2" t="str">
        <x:v>ESOP expense added back</x:v>
      </x:c>
      <x:c r="C16" s="28" t="n">
        <x:f>'Torrent inputs'!C21/'Torrent inputs'!$C$64</x:f>
        <x:v>0</x:v>
      </x:c>
      <x:c r="D16" s="28" t="n">
        <x:f>'Torrent inputs'!D21/'Torrent inputs'!$C$64</x:f>
        <x:v>0</x:v>
      </x:c>
      <x:c r="E16" s="28" t="n">
        <x:f>'Torrent inputs'!E21/'Torrent inputs'!$C$64</x:f>
        <x:v>0</x:v>
      </x:c>
      <x:c r="F16" s="28" t="n">
        <x:f>'Torrent inputs'!F21/'Torrent inputs'!$C$64</x:f>
        <x:v>0</x:v>
      </x:c>
      <x:c r="G16" s="28" t="n">
        <x:f>'Torrent inputs'!G21/'Torrent inputs'!$C$64</x:f>
        <x:v>0</x:v>
      </x:c>
      <x:c r="H16" s="2"/>
      <x:c r="I16" s="2"/>
      <x:c r="J16" s="2"/>
    </x:row>
    <x:row r="17" ht="22" customHeight="1">
      <x:c r="A17" s="2"/>
      <x:c r="B17" s="38" t="str">
        <x:v>EBITDA before ESOP expense</x:v>
      </x:c>
      <x:c r="C17" s="41" t="n">
        <x:f>C14+C16</x:f>
        <x:v>2485.6800000000003</x:v>
      </x:c>
      <x:c r="D17" s="41" t="n">
        <x:f>D14+D16</x:f>
        <x:v>2431.270000000001</x:v>
      </x:c>
      <x:c r="E17" s="41" t="n">
        <x:f>E14+E16</x:f>
        <x:v>2842.049999999999</x:v>
      </x:c>
      <x:c r="F17" s="41" t="n">
        <x:f>F14+F16</x:f>
        <x:v>3367.6499999999996</x:v>
      </x:c>
      <x:c r="G17" s="41" t="n">
        <x:f>G14+G16</x:f>
        <x:v>3720.9900000000007</x:v>
      </x:c>
      <x:c r="H17" s="2"/>
      <x:c r="I17" s="2"/>
      <x:c r="J17" s="2"/>
    </x:row>
    <x:row r="18" ht="22" customHeight="1">
      <x:c r="A18" s="2"/>
      <x:c r="B18" s="30" t="str">
        <x:v>EBITDA margin before ESOP</x:v>
      </x:c>
      <x:c r="C18" s="31" t="n">
        <x:f>C17/C7</x:f>
        <x:v>0.31052252202732605</x:v>
      </x:c>
      <x:c r="D18" s="31" t="n">
        <x:f>D17/D7</x:f>
        <x:v>0.2857614679761732</x:v>
      </x:c>
      <x:c r="E18" s="31" t="n">
        <x:f>E17/E7</x:f>
        <x:v>0.2954267864846181</x:v>
      </x:c>
      <x:c r="F18" s="31" t="n">
        <x:f>F17/F7</x:f>
        <x:v>0.31391687422631204</x:v>
      </x:c>
      <x:c r="G18" s="31" t="n">
        <x:f>G17/G7</x:f>
        <x:v>0.3231122716130215</x:v>
      </x:c>
      <x:c r="H18" s="2"/>
      <x:c r="I18" s="2"/>
      <x:c r="J18" s="2"/>
    </x:row>
    <x:row r="19" ht="22" customHeight="1">
      <x:c r="A19" s="2"/>
      <x:c r="B19" s="2" t="str">
        <x:v>Depreciation, amortisation &amp; impairment</x:v>
      </x:c>
      <x:c r="C19" s="28" t="n">
        <x:f>'Torrent inputs'!C13/'Torrent inputs'!$C$64</x:f>
        <x:v>657.79</x:v>
      </x:c>
      <x:c r="D19" s="28" t="n">
        <x:f>'Torrent inputs'!D13/'Torrent inputs'!$C$64</x:f>
        <x:v>662.16</x:v>
      </x:c>
      <x:c r="E19" s="28" t="n">
        <x:f>'Torrent inputs'!E13/'Torrent inputs'!$C$64</x:f>
        <x:v>706.59</x:v>
      </x:c>
      <x:c r="F19" s="28" t="n">
        <x:f>'Torrent inputs'!F13/'Torrent inputs'!$C$64</x:f>
        <x:v>808.27</x:v>
      </x:c>
      <x:c r="G19" s="28" t="n">
        <x:f>'Torrent inputs'!G13/'Torrent inputs'!$C$64</x:f>
        <x:v>794.93</x:v>
      </x:c>
      <x:c r="H19" s="2"/>
      <x:c r="I19" s="2"/>
      <x:c r="J19" s="2"/>
    </x:row>
    <x:row r="20" ht="22" customHeight="1">
      <x:c r="A20" s="2"/>
      <x:c r="B20" s="38" t="str">
        <x:v>Operating EBIT</x:v>
      </x:c>
      <x:c r="C20" s="41" t="n">
        <x:f>C14-C19</x:f>
        <x:v>1827.8900000000003</x:v>
      </x:c>
      <x:c r="D20" s="41" t="n">
        <x:f>D14-D19</x:f>
        <x:v>1769.110000000001</x:v>
      </x:c>
      <x:c r="E20" s="41" t="n">
        <x:f>E14-E19</x:f>
        <x:v>2135.4599999999987</x:v>
      </x:c>
      <x:c r="F20" s="41" t="n">
        <x:f>F14-F19</x:f>
        <x:v>2559.3799999999997</x:v>
      </x:c>
      <x:c r="G20" s="41" t="n">
        <x:f>G14-G19</x:f>
        <x:v>2926.060000000001</x:v>
      </x:c>
      <x:c r="H20" s="2"/>
      <x:c r="I20" s="2"/>
      <x:c r="J20" s="2"/>
    </x:row>
    <x:row r="21" ht="22" customHeight="1">
      <x:c r="A21" s="2"/>
      <x:c r="B21" s="2" t="str">
        <x:v>Other income</x:v>
      </x:c>
      <x:c r="C21" s="28" t="n">
        <x:f>'Torrent inputs'!C15/'Torrent inputs'!$C$64</x:f>
        <x:v>56.65</x:v>
      </x:c>
      <x:c r="D21" s="28" t="n">
        <x:f>'Torrent inputs'!D15/'Torrent inputs'!$C$64</x:f>
        <x:v>196.56</x:v>
      </x:c>
      <x:c r="E21" s="28" t="n">
        <x:f>'Torrent inputs'!E15/'Torrent inputs'!$C$64</x:f>
        <x:v>45.14</x:v>
      </x:c>
      <x:c r="F21" s="28" t="n">
        <x:f>'Torrent inputs'!F15/'Torrent inputs'!$C$64</x:f>
        <x:v>57.91</x:v>
      </x:c>
      <x:c r="G21" s="28" t="n">
        <x:f>'Torrent inputs'!G15/'Torrent inputs'!$C$64</x:f>
        <x:v>23.27</x:v>
      </x:c>
      <x:c r="H21" s="2"/>
      <x:c r="I21" s="2"/>
      <x:c r="J21" s="2"/>
    </x:row>
    <x:row r="22" ht="22" customHeight="1">
      <x:c r="A22" s="2"/>
      <x:c r="B22" s="2" t="str">
        <x:v>Finance costs</x:v>
      </x:c>
      <x:c r="C22" s="28" t="n">
        <x:f>'Torrent inputs'!C14/'Torrent inputs'!$C$64</x:f>
        <x:v>358.28</x:v>
      </x:c>
      <x:c r="D22" s="28" t="n">
        <x:f>'Torrent inputs'!D14/'Torrent inputs'!$C$64</x:f>
        <x:v>255.06</x:v>
      </x:c>
      <x:c r="E22" s="28" t="n">
        <x:f>'Torrent inputs'!E14/'Torrent inputs'!$C$64</x:f>
        <x:v>333.44</x:v>
      </x:c>
      <x:c r="F22" s="28" t="n">
        <x:f>'Torrent inputs'!F14/'Torrent inputs'!$C$64</x:f>
        <x:v>353.56</x:v>
      </x:c>
      <x:c r="G22" s="28" t="n">
        <x:f>'Torrent inputs'!G14/'Torrent inputs'!$C$64</x:f>
        <x:v>252.31</x:v>
      </x:c>
      <x:c r="H22" s="2"/>
      <x:c r="I22" s="2"/>
      <x:c r="J22" s="2"/>
    </x:row>
    <x:row r="23" ht="22" customHeight="1">
      <x:c r="A23" s="2"/>
      <x:c r="B23" s="2" t="str">
        <x:v>Exceptional expense / (gain)</x:v>
      </x:c>
      <x:c r="C23" s="28" t="n">
        <x:f>'Torrent inputs'!C16/'Torrent inputs'!$C$64</x:f>
        <x:v>0</x:v>
      </x:c>
      <x:c r="D23" s="28" t="n">
        <x:f>'Torrent inputs'!D16/'Torrent inputs'!$C$64</x:f>
        <x:v>484.7</x:v>
      </x:c>
      <x:c r="E23" s="28" t="n">
        <x:f>'Torrent inputs'!E16/'Torrent inputs'!$C$64</x:f>
        <x:v>0</x:v>
      </x:c>
      <x:c r="F23" s="28" t="n">
        <x:f>'Torrent inputs'!F16/'Torrent inputs'!$C$64</x:f>
        <x:v>-88.38</x:v>
      </x:c>
      <x:c r="G23" s="28" t="n">
        <x:f>'Torrent inputs'!G16/'Torrent inputs'!$C$64</x:f>
        <x:v>24.21</x:v>
      </x:c>
      <x:c r="H23" s="2"/>
      <x:c r="I23" s="2"/>
      <x:c r="J23" s="2"/>
    </x:row>
    <x:row r="24" ht="22" customHeight="1">
      <x:c r="A24" s="2"/>
      <x:c r="B24" s="38" t="str">
        <x:v>Profit before tax</x:v>
      </x:c>
      <x:c r="C24" s="41" t="n">
        <x:f>C20+C21-C22-C23</x:f>
        <x:v>1526.2600000000004</x:v>
      </x:c>
      <x:c r="D24" s="41" t="n">
        <x:f>D20+D21-D22-D23</x:f>
        <x:v>1225.910000000001</x:v>
      </x:c>
      <x:c r="E24" s="41" t="n">
        <x:f>E20+E21-E22-E23</x:f>
        <x:v>1847.1599999999985</x:v>
      </x:c>
      <x:c r="F24" s="41" t="n">
        <x:f>F20+F21-F22-F23</x:f>
        <x:v>2352.1099999999997</x:v>
      </x:c>
      <x:c r="G24" s="41" t="n">
        <x:f>G20+G21-G22-G23</x:f>
        <x:v>2672.810000000001</x:v>
      </x:c>
      <x:c r="H24" s="2"/>
      <x:c r="I24" s="2"/>
      <x:c r="J24" s="2"/>
    </x:row>
    <x:row r="25" ht="22" customHeight="1">
      <x:c r="A25" s="2"/>
      <x:c r="B25" s="2" t="str">
        <x:v>Tax expense</x:v>
      </x:c>
      <x:c r="C25" s="28" t="n">
        <x:f>'Torrent inputs'!C17/'Torrent inputs'!$C$64</x:f>
        <x:v>274.38</x:v>
      </x:c>
      <x:c r="D25" s="28" t="n">
        <x:f>'Torrent inputs'!D17/'Torrent inputs'!$C$64</x:f>
        <x:v>448.73</x:v>
      </x:c>
      <x:c r="E25" s="28" t="n">
        <x:f>'Torrent inputs'!E17/'Torrent inputs'!$C$64</x:f>
        <x:v>601.93</x:v>
      </x:c>
      <x:c r="F25" s="28" t="n">
        <x:f>'Torrent inputs'!F17/'Torrent inputs'!$C$64</x:f>
        <x:v>695.73</x:v>
      </x:c>
      <x:c r="G25" s="28" t="n">
        <x:f>'Torrent inputs'!G17/'Torrent inputs'!$C$64</x:f>
        <x:v>761.56</x:v>
      </x:c>
      <x:c r="H25" s="2"/>
      <x:c r="I25" s="2"/>
      <x:c r="J25" s="2"/>
    </x:row>
    <x:row r="26" ht="22" customHeight="1">
      <x:c r="A26" s="2"/>
      <x:c r="B26" s="30" t="str">
        <x:v>Effective tax rate</x:v>
      </x:c>
      <x:c r="C26" s="31" t="n">
        <x:f>C25/C24</x:f>
        <x:v>0.17977277790153703</x:v>
      </x:c>
      <x:c r="D26" s="31" t="n">
        <x:f>D25/D24</x:f>
        <x:v>0.36603828992340354</x:v>
      </x:c>
      <x:c r="E26" s="31" t="n">
        <x:f>E25/E24</x:f>
        <x:v>0.32586781870547243</x:v>
      </x:c>
      <x:c r="F26" s="31" t="n">
        <x:f>F25/F24</x:f>
        <x:v>0.29578973772485134</x:v>
      </x:c>
      <x:c r="G26" s="31" t="n">
        <x:f>G25/G24</x:f>
        <x:v>0.2849285957475465</x:v>
      </x:c>
      <x:c r="H26" s="2"/>
      <x:c r="I26" s="2"/>
      <x:c r="J26" s="2"/>
    </x:row>
    <x:row r="27" ht="22" customHeight="1">
      <x:c r="A27" s="2"/>
      <x:c r="B27" s="38" t="str">
        <x:v>Total profit after tax</x:v>
      </x:c>
      <x:c r="C27" s="41" t="n">
        <x:f>C24-C25</x:f>
        <x:v>1251.8800000000006</x:v>
      </x:c>
      <x:c r="D27" s="41" t="n">
        <x:f>D24-D25</x:f>
        <x:v>777.180000000001</x:v>
      </x:c>
      <x:c r="E27" s="41" t="n">
        <x:f>E24-E25</x:f>
        <x:v>1245.2299999999987</x:v>
      </x:c>
      <x:c r="F27" s="41" t="n">
        <x:f>F24-F25</x:f>
        <x:v>1656.3799999999997</x:v>
      </x:c>
      <x:c r="G27" s="41" t="n">
        <x:f>G24-G25</x:f>
        <x:v>1911.250000000001</x:v>
      </x:c>
      <x:c r="H27" s="2"/>
      <x:c r="I27" s="2"/>
      <x:c r="J27" s="2"/>
    </x:row>
    <x:row r="28" ht="22" customHeight="1">
      <x:c r="A28" s="2"/>
      <x:c r="B28" s="38" t="str">
        <x:v>PAT attributable to owners</x:v>
      </x:c>
      <x:c r="C28" s="39" t="n">
        <x:f>'Torrent inputs'!C20/'Torrent inputs'!$C$64</x:f>
        <x:v>1251.88</x:v>
      </x:c>
      <x:c r="D28" s="39" t="n">
        <x:f>'Torrent inputs'!D20/'Torrent inputs'!$C$64</x:f>
        <x:v>777.18</x:v>
      </x:c>
      <x:c r="E28" s="39" t="n">
        <x:f>'Torrent inputs'!E20/'Torrent inputs'!$C$64</x:f>
        <x:v>1245.23</x:v>
      </x:c>
      <x:c r="F28" s="39" t="n">
        <x:f>'Torrent inputs'!F20/'Torrent inputs'!$C$64</x:f>
        <x:v>1656.38</x:v>
      </x:c>
      <x:c r="G28" s="39" t="n">
        <x:f>'Torrent inputs'!G20/'Torrent inputs'!$C$64</x:f>
        <x:v>1911.25</x:v>
      </x:c>
      <x:c r="H28" s="2"/>
      <x:c r="I28" s="2"/>
      <x:c r="J28" s="2"/>
    </x:row>
    <x:row r="29" ht="22" customHeight="1">
      <x:c r="A29" s="2"/>
      <x:c r="B29" s="30" t="str">
        <x:v>PAT margin (owners)</x:v>
      </x:c>
      <x:c r="C29" s="31" t="n">
        <x:f>C28/C7</x:f>
        <x:v>0.15639057918781538</x:v>
      </x:c>
      <x:c r="D29" s="31" t="n">
        <x:f>D28/D7</x:f>
        <x:v>0.09134653809808133</x:v>
      </x:c>
      <x:c r="E29" s="31" t="n">
        <x:f>E28/E7</x:f>
        <x:v>0.12943976965016138</x:v>
      </x:c>
      <x:c r="F29" s="31" t="n">
        <x:f>F28/F7</x:f>
        <x:v>0.1544001401959761</x:v>
      </x:c>
      <x:c r="G29" s="31" t="n">
        <x:f>G28/G7</x:f>
        <x:v>0.16596344766322596</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'Torrent inputs'!C24/'Torrent inputs'!$C$64</x:f>
        <x:v>2681.2</x:v>
      </x:c>
      <x:c r="D32" s="28" t="n">
        <x:f>'Torrent inputs'!D24/'Torrent inputs'!$C$64</x:f>
        <x:v>2462.32</x:v>
      </x:c>
      <x:c r="E32" s="28" t="n">
        <x:f>'Torrent inputs'!E24/'Torrent inputs'!$C$64</x:f>
        <x:v>2229.64</x:v>
      </x:c>
      <x:c r="F32" s="28" t="n">
        <x:f>'Torrent inputs'!F24/'Torrent inputs'!$C$64</x:f>
        <x:v>2279.07</x:v>
      </x:c>
      <x:c r="G32" s="28" t="n">
        <x:f>'Torrent inputs'!G24/'Torrent inputs'!$C$64</x:f>
        <x:v>2541.25</x:v>
      </x:c>
      <x:c r="H32" s="2"/>
      <x:c r="I32" s="2"/>
      <x:c r="J32" s="2"/>
    </x:row>
    <x:row r="33" ht="22" customHeight="1">
      <x:c r="A33" s="2"/>
      <x:c r="B33" s="2" t="str">
        <x:v>Trade receivables</x:v>
      </x:c>
      <x:c r="C33" s="28" t="n">
        <x:f>'Torrent inputs'!C25/'Torrent inputs'!$C$64</x:f>
        <x:v>1523.37</x:v>
      </x:c>
      <x:c r="D33" s="28" t="n">
        <x:f>'Torrent inputs'!D25/'Torrent inputs'!$C$64</x:f>
        <x:v>1632.48</x:v>
      </x:c>
      <x:c r="E33" s="28" t="n">
        <x:f>'Torrent inputs'!E25/'Torrent inputs'!$C$64</x:f>
        <x:v>1943.82</x:v>
      </x:c>
      <x:c r="F33" s="28" t="n">
        <x:f>'Torrent inputs'!F25/'Torrent inputs'!$C$64</x:f>
        <x:v>1844.3</x:v>
      </x:c>
      <x:c r="G33" s="28" t="n">
        <x:f>'Torrent inputs'!G25/'Torrent inputs'!$C$64</x:f>
        <x:v>1866.45</x:v>
      </x:c>
      <x:c r="H33" s="2"/>
      <x:c r="I33" s="2"/>
      <x:c r="J33" s="2"/>
    </x:row>
    <x:row r="34" ht="22" customHeight="1">
      <x:c r="A34" s="2"/>
      <x:c r="B34" s="2" t="str">
        <x:v>Trade payables</x:v>
      </x:c>
      <x:c r="C34" s="28" t="n">
        <x:f>'Torrent inputs'!C26/'Torrent inputs'!$C$64</x:f>
        <x:v>2066.81</x:v>
      </x:c>
      <x:c r="D34" s="28" t="n">
        <x:f>'Torrent inputs'!D26/'Torrent inputs'!$C$64</x:f>
        <x:v>1674.44</x:v>
      </x:c>
      <x:c r="E34" s="28" t="n">
        <x:f>'Torrent inputs'!E26/'Torrent inputs'!$C$64</x:f>
        <x:v>1678.8</x:v>
      </x:c>
      <x:c r="F34" s="28" t="n">
        <x:f>'Torrent inputs'!F26/'Torrent inputs'!$C$64</x:f>
        <x:v>2089.32</x:v>
      </x:c>
      <x:c r="G34" s="28" t="n">
        <x:f>'Torrent inputs'!G26/'Torrent inputs'!$C$64</x:f>
        <x:v>1820.02</x:v>
      </x:c>
      <x:c r="H34" s="2"/>
      <x:c r="I34" s="2"/>
      <x:c r="J34" s="2"/>
    </x:row>
    <x:row r="35" ht="22" customHeight="1">
      <x:c r="A35" s="2"/>
      <x:c r="B35" s="38" t="str">
        <x:v>Trade working capital</x:v>
      </x:c>
      <x:c r="C35" s="41" t="n">
        <x:f>C32+C33-C34</x:f>
        <x:v>2137.7599999999998</x:v>
      </x:c>
      <x:c r="D35" s="41" t="n">
        <x:f>D32+D33-D34</x:f>
        <x:v>2420.36</x:v>
      </x:c>
      <x:c r="E35" s="41" t="n">
        <x:f>E32+E33-E34</x:f>
        <x:v>2494.66</x:v>
      </x:c>
      <x:c r="F35" s="41" t="n">
        <x:f>F32+F33-F34</x:f>
        <x:v>2034.0499999999997</x:v>
      </x:c>
      <x:c r="G35" s="41" t="n">
        <x:f>G32+G33-G34</x:f>
        <x:v>2587.68</x:v>
      </x:c>
      <x:c r="H35" s="2"/>
      <x:c r="I35" s="2"/>
      <x:c r="J35" s="2"/>
    </x:row>
    <x:row r="36" ht="22" customHeight="1">
      <x:c r="A36" s="2"/>
      <x:c r="B36" s="30" t="str">
        <x:v>Trade working capital / revenue</x:v>
      </x:c>
      <x:c r="C36" s="31" t="n">
        <x:f>C35/C7</x:f>
        <x:v>0.2670587632716747</x:v>
      </x:c>
      <x:c r="D36" s="31" t="n">
        <x:f>D35/D7</x:f>
        <x:v>0.28447915148494834</x:v>
      </x:c>
      <x:c r="E36" s="31" t="n">
        <x:f>E35/E7</x:f>
        <x:v>0.25931612292947614</x:v>
      </x:c>
      <x:c r="F36" s="31" t="n">
        <x:f>F35/F7</x:f>
        <x:v>0.18960480394935045</x:v>
      </x:c>
      <x:c r="G36" s="31" t="n">
        <x:f>G35/G7</x:f>
        <x:v>0.22470126579420618</x:v>
      </x:c>
      <x:c r="H36" s="2"/>
      <x:c r="I36" s="2"/>
      <x:c r="J36" s="2"/>
    </x:row>
    <x:row r="37" ht="22" customHeight="1">
      <x:c r="A37" s="2"/>
      <x:c r="B37" s="2" t="str">
        <x:v>Receivable days</x:v>
      </x:c>
      <x:c r="C37" s="28" t="n">
        <x:f>C33/C7*'Torrent inputs'!$C$65</x:f>
        <x:v>69.46181867697378</x:v>
      </x:c>
      <x:c r="D37" s="28" t="n">
        <x:f>D33/D7*'Torrent inputs'!$C$65</x:f>
        <x:v>70.03436749239542</x:v>
      </x:c>
      <x:c r="E37" s="28" t="n">
        <x:f>E33/E7*'Torrent inputs'!$C$65</x:f>
        <x:v>73.7508562756298</x:v>
      </x:c>
      <x:c r="F37" s="28" t="n">
        <x:f>F33/F7*'Torrent inputs'!$C$65</x:f>
        <x:v>62.74977069009232</x:v>
      </x:c>
      <x:c r="G37" s="28" t="n">
        <x:f>G33/G7*'Torrent inputs'!$C$65</x:f>
        <x:v>59.1567320158144</x:v>
      </x:c>
      <x:c r="H37" s="2"/>
      <x:c r="I37" s="2"/>
      <x:c r="J37" s="2"/>
    </x:row>
    <x:row r="38" ht="22" customHeight="1">
      <x:c r="A38" s="2"/>
      <x:c r="B38" s="2" t="str">
        <x:v>Inventory days</x:v>
      </x:c>
      <x:c r="C38" s="28" t="n">
        <x:f>C32/C9*'Torrent inputs'!$C$65</x:f>
        <x:v>455.93965766252643</x:v>
      </x:c>
      <x:c r="D38" s="28" t="n">
        <x:f>D32/D9*'Torrent inputs'!$C$65</x:f>
        <x:v>368.0356755295842</x:v>
      </x:c>
      <x:c r="E38" s="28" t="n">
        <x:f>E32/E9*'Torrent inputs'!$C$65</x:f>
        <x:v>297.5364051491852</x:v>
      </x:c>
      <x:c r="F38" s="28" t="n">
        <x:f>F32/F9*'Torrent inputs'!$C$65</x:f>
        <x:v>309.67815248993935</x:v>
      </x:c>
      <x:c r="G38" s="28" t="n">
        <x:f>G32/G9*'Torrent inputs'!$C$65</x:f>
        <x:v>334.14613278576326</x:v>
      </x:c>
      <x:c r="H38" s="2"/>
      <x:c r="I38" s="2"/>
      <x:c r="J38" s="2"/>
    </x:row>
    <x:row r="39" ht="22" customHeight="1">
      <x:c r="A39" s="2"/>
      <x:c r="B39" s="2" t="str">
        <x:v>Payable days</x:v>
      </x:c>
      <x:c r="C39" s="28" t="n">
        <x:f>C34/C9*'Torrent inputs'!$C$65</x:f>
        <x:v>351.4622720623177</x:v>
      </x:c>
      <x:c r="D39" s="28" t="n">
        <x:f>D34/D9*'Torrent inputs'!$C$65</x:f>
        <x:v>250.273586103251</x:v>
      </x:c>
      <x:c r="E39" s="28" t="n">
        <x:f>E34/E9*'Torrent inputs'!$C$65</x:f>
        <x:v>224.029043686179</x:v>
      </x:c>
      <x:c r="F39" s="28" t="n">
        <x:f>F34/F9*'Torrent inputs'!$C$65</x:f>
        <x:v>283.89507894021693</x:v>
      </x:c>
      <x:c r="G39" s="28" t="n">
        <x:f>G34/G9*'Torrent inputs'!$C$65</x:f>
        <x:v>239.3124031845528</x:v>
      </x:c>
      <x:c r="H39" s="2"/>
      <x:c r="I39" s="2"/>
      <x:c r="J39" s="2"/>
    </x:row>
    <x:row r="40" ht="22" customHeight="1">
      <x:c r="A40" s="2"/>
      <x:c r="B40" s="2" t="str">
        <x:v>Cash conversion cycle (days)</x:v>
      </x:c>
      <x:c r="C40" s="3" t="n">
        <x:f>C37+C38-C39</x:f>
        <x:v>173.93920427718245</x:v>
      </x:c>
      <x:c r="D40" s="3" t="n">
        <x:f>D37+D38-D39</x:f>
        <x:v>187.79645691872858</x:v>
      </x:c>
      <x:c r="E40" s="3" t="n">
        <x:f>E37+E38-E39</x:f>
        <x:v>147.25821773863603</x:v>
      </x:c>
      <x:c r="F40" s="3" t="n">
        <x:f>F37+F38-F39</x:f>
        <x:v>88.53284423981472</x:v>
      </x:c>
      <x:c r="G40" s="3" t="n">
        <x:f>G37+G38-G39</x:f>
        <x:v>153.99046161702483</x:v>
      </x:c>
      <x:c r="H40" s="2"/>
      <x:c r="I40" s="2"/>
      <x:c r="J40" s="2"/>
    </x:row>
    <x:row r="41" ht="22" customHeight="1">
      <x:c r="A41" s="2"/>
      <x:c r="B41" s="2" t="str">
        <x:v>Cash and cash equivalents</x:v>
      </x:c>
      <x:c r="C41" s="28" t="n">
        <x:f>'Torrent inputs'!C27/'Torrent inputs'!$C$64</x:f>
        <x:v>572.56</x:v>
      </x:c>
      <x:c r="D41" s="28" t="n">
        <x:f>'Torrent inputs'!D27/'Torrent inputs'!$C$64</x:f>
        <x:v>398.4</x:v>
      </x:c>
      <x:c r="E41" s="28" t="n">
        <x:f>'Torrent inputs'!E27/'Torrent inputs'!$C$64</x:f>
        <x:v>508.53</x:v>
      </x:c>
      <x:c r="F41" s="28" t="n">
        <x:f>'Torrent inputs'!F27/'Torrent inputs'!$C$64</x:f>
        <x:v>835.14</x:v>
      </x:c>
      <x:c r="G41" s="28" t="n">
        <x:f>'Torrent inputs'!G27/'Torrent inputs'!$C$64</x:f>
        <x:v>573.48</x:v>
      </x:c>
      <x:c r="H41" s="2"/>
      <x:c r="I41" s="2"/>
      <x:c r="J41" s="2"/>
    </x:row>
    <x:row r="42" ht="22" customHeight="1">
      <x:c r="A42" s="2"/>
      <x:c r="B42" s="2" t="str">
        <x:v>Current financial investments</x:v>
      </x:c>
      <x:c r="C42" s="28" t="n">
        <x:f>'Torrent inputs'!C28/'Torrent inputs'!$C$64</x:f>
        <x:v>139.03</x:v>
      </x:c>
      <x:c r="D42" s="28" t="n">
        <x:f>'Torrent inputs'!D28/'Torrent inputs'!$C$64</x:f>
        <x:v>183.96</x:v>
      </x:c>
      <x:c r="E42" s="28" t="n">
        <x:f>'Torrent inputs'!E28/'Torrent inputs'!$C$64</x:f>
        <x:v>156.06</x:v>
      </x:c>
      <x:c r="F42" s="28" t="n">
        <x:f>'Torrent inputs'!F28/'Torrent inputs'!$C$64</x:f>
        <x:v>140.96</x:v>
      </x:c>
      <x:c r="G42" s="28" t="n">
        <x:f>'Torrent inputs'!G28/'Torrent inputs'!$C$64</x:f>
        <x:v>112.21</x:v>
      </x:c>
      <x:c r="H42" s="2"/>
      <x:c r="I42" s="2"/>
      <x:c r="J42" s="2"/>
    </x:row>
    <x:row r="43" ht="22" customHeight="1">
      <x:c r="A43" s="2"/>
      <x:c r="B43" s="38" t="str">
        <x:v>Gross borrowings, excluding leases</x:v>
      </x:c>
      <x:c r="C43" s="39" t="n">
        <x:f>('Torrent inputs'!C33+'Torrent inputs'!C34+'Torrent inputs'!C35)/'Torrent inputs'!$C$64</x:f>
        <x:v>4825.46</x:v>
      </x:c>
      <x:c r="D43" s="39" t="n">
        <x:f>('Torrent inputs'!D33+'Torrent inputs'!D34+'Torrent inputs'!D35)/'Torrent inputs'!$C$64</x:f>
        <x:v>4018.1</x:v>
      </x:c>
      <x:c r="E43" s="39" t="n">
        <x:f>('Torrent inputs'!E33+'Torrent inputs'!E34+'Torrent inputs'!E35)/'Torrent inputs'!$C$64</x:f>
        <x:v>5297.299999999999</x:v>
      </x:c>
      <x:c r="F43" s="39" t="n">
        <x:f>('Torrent inputs'!F33+'Torrent inputs'!F34+'Torrent inputs'!F35)/'Torrent inputs'!$C$64</x:f>
        <x:v>3937.42</x:v>
      </x:c>
      <x:c r="G43" s="39" t="n">
        <x:f>('Torrent inputs'!G33+'Torrent inputs'!G34+'Torrent inputs'!G35)/'Torrent inputs'!$C$64</x:f>
        <x:v>3026.09</x:v>
      </x:c>
      <x:c r="H43" s="2"/>
      <x:c r="I43" s="2"/>
      <x:c r="J43" s="2"/>
    </x:row>
    <x:row r="44" ht="22" customHeight="1">
      <x:c r="A44" s="2"/>
      <x:c r="B44" s="2" t="str">
        <x:v>Lease liabilities</x:v>
      </x:c>
      <x:c r="C44" s="28" t="n">
        <x:f>('Torrent inputs'!C36+'Torrent inputs'!C37)/'Torrent inputs'!$C$64</x:f>
        <x:v>48.67</x:v>
      </x:c>
      <x:c r="D44" s="28" t="n">
        <x:f>('Torrent inputs'!D36+'Torrent inputs'!D37)/'Torrent inputs'!$C$64</x:f>
        <x:v>51.55</x:v>
      </x:c>
      <x:c r="E44" s="28" t="n">
        <x:f>('Torrent inputs'!E36+'Torrent inputs'!E37)/'Torrent inputs'!$C$64</x:f>
        <x:v>71.25999999999999</x:v>
      </x:c>
      <x:c r="F44" s="28" t="n">
        <x:f>('Torrent inputs'!F36+'Torrent inputs'!F37)/'Torrent inputs'!$C$64</x:f>
        <x:v>84.52</x:v>
      </x:c>
      <x:c r="G44" s="28" t="n">
        <x:f>('Torrent inputs'!G36+'Torrent inputs'!G37)/'Torrent inputs'!$C$64</x:f>
        <x:v>176.23000000000002</x:v>
      </x:c>
      <x:c r="H44" s="2"/>
      <x:c r="I44" s="2"/>
      <x:c r="J44" s="2"/>
    </x:row>
    <x:row r="45" ht="22" customHeight="1">
      <x:c r="A45" s="2"/>
      <x:c r="B45" s="38" t="str">
        <x:v>Net debt / (net cash), excluding leases</x:v>
      </x:c>
      <x:c r="C45" s="41" t="n">
        <x:f>C43-C41-C42</x:f>
        <x:v>4113.87</x:v>
      </x:c>
      <x:c r="D45" s="41" t="n">
        <x:f>D43-D41-D42</x:f>
        <x:v>3435.74</x:v>
      </x:c>
      <x:c r="E45" s="41" t="n">
        <x:f>E43-E41-E42</x:f>
        <x:v>4632.709999999999</x:v>
      </x:c>
      <x:c r="F45" s="41" t="n">
        <x:f>F43-F41-F42</x:f>
        <x:v>2961.32</x:v>
      </x:c>
      <x:c r="G45" s="41" t="n">
        <x:f>G43-G41-G42</x:f>
        <x:v>2340.4</x:v>
      </x:c>
      <x:c r="H45" s="2"/>
      <x:c r="I45" s="2"/>
      <x:c r="J45" s="2"/>
    </x:row>
    <x:row r="46" ht="22" customHeight="1">
      <x:c r="A46" s="2"/>
      <x:c r="B46" s="30" t="str">
        <x:v>Net debt / operating EBITDA (x)</x:v>
      </x:c>
      <x:c r="C46" s="33" t="n">
        <x:f>C45/C14</x:f>
        <x:v>1.655028000386212</x:v>
      </x:c>
      <x:c r="D46" s="33" t="n">
        <x:f>D45/D14</x:f>
        <x:v>1.413146215763777</x:v>
      </x:c>
      <x:c r="E46" s="33" t="n">
        <x:f>E45/E14</x:f>
        <x:v>1.6300592881898632</x:v>
      </x:c>
      <x:c r="F46" s="33" t="n">
        <x:f>F45/F14</x:f>
        <x:v>0.8793431621457101</x:v>
      </x:c>
      <x:c r="G46" s="33" t="n">
        <x:f>G45/G14</x:f>
        <x:v>0.6289723971308709</x:v>
      </x:c>
      <x:c r="H46" s="2"/>
      <x:c r="I46" s="2"/>
      <x:c r="J46" s="2"/>
    </x:row>
    <x:row r="47" ht="22" customHeight="1">
      <x:c r="A47" s="2"/>
      <x:c r="B47" s="2" t="str">
        <x:v>Total current assets</x:v>
      </x:c>
      <x:c r="C47" s="28" t="n">
        <x:f>'Torrent inputs'!C30/'Torrent inputs'!$C$64</x:f>
        <x:v>5521.5</x:v>
      </x:c>
      <x:c r="D47" s="28" t="n">
        <x:f>'Torrent inputs'!D30/'Torrent inputs'!$C$64</x:f>
        <x:v>5164.99</x:v>
      </x:c>
      <x:c r="E47" s="28" t="n">
        <x:f>'Torrent inputs'!E30/'Torrent inputs'!$C$64</x:f>
        <x:v>5313.72</x:v>
      </x:c>
      <x:c r="F47" s="28" t="n">
        <x:f>'Torrent inputs'!F30/'Torrent inputs'!$C$64</x:f>
        <x:v>5611.48</x:v>
      </x:c>
      <x:c r="G47" s="28" t="n">
        <x:f>'Torrent inputs'!G30/'Torrent inputs'!$C$64</x:f>
        <x:v>5622.57</x:v>
      </x:c>
      <x:c r="H47" s="2"/>
      <x:c r="I47" s="2"/>
      <x:c r="J47" s="2"/>
    </x:row>
    <x:row r="48" ht="22" customHeight="1">
      <x:c r="A48" s="2"/>
      <x:c r="B48" s="38" t="str">
        <x:v>Total assets</x:v>
      </x:c>
      <x:c r="C48" s="39" t="n">
        <x:f>'Torrent inputs'!C31/'Torrent inputs'!$C$64</x:f>
        <x:v>14074.65</x:v>
      </x:c>
      <x:c r="D48" s="39" t="n">
        <x:f>'Torrent inputs'!D31/'Torrent inputs'!$C$64</x:f>
        <x:v>13099.84</x:v>
      </x:c>
      <x:c r="E48" s="39" t="n">
        <x:f>'Torrent inputs'!E31/'Torrent inputs'!$C$64</x:f>
        <x:v>15011.85</x:v>
      </x:c>
      <x:c r="F48" s="39" t="n">
        <x:f>'Torrent inputs'!F31/'Torrent inputs'!$C$64</x:f>
        <x:v>15060.58</x:v>
      </x:c>
      <x:c r="G48" s="39" t="n">
        <x:f>'Torrent inputs'!G31/'Torrent inputs'!$C$64</x:f>
        <x:v>14989.74</x:v>
      </x:c>
      <x:c r="H48" s="2"/>
      <x:c r="I48" s="2"/>
      <x:c r="J48" s="2"/>
    </x:row>
    <x:row r="49" ht="22" customHeight="1">
      <x:c r="A49" s="2"/>
      <x:c r="B49" s="2" t="str">
        <x:v>Total current liabilities</x:v>
      </x:c>
      <x:c r="C49" s="28" t="n">
        <x:f>'Torrent inputs'!C39/'Torrent inputs'!$C$64</x:f>
        <x:v>4891.62</x:v>
      </x:c>
      <x:c r="D49" s="28" t="n">
        <x:f>'Torrent inputs'!D39/'Torrent inputs'!$C$64</x:f>
        <x:v>4415.09</x:v>
      </x:c>
      <x:c r="E49" s="28" t="n">
        <x:f>'Torrent inputs'!E39/'Torrent inputs'!$C$64</x:f>
        <x:v>5447.3</x:v>
      </x:c>
      <x:c r="F49" s="28" t="n">
        <x:f>'Torrent inputs'!F39/'Torrent inputs'!$C$64</x:f>
        <x:v>5425.25</x:v>
      </x:c>
      <x:c r="G49" s="28" t="n">
        <x:f>'Torrent inputs'!G39/'Torrent inputs'!$C$64</x:f>
        <x:v>4717.19</x:v>
      </x:c>
      <x:c r="H49" s="2"/>
      <x:c r="I49" s="2"/>
      <x:c r="J49" s="2"/>
    </x:row>
    <x:row r="50" ht="22" customHeight="1">
      <x:c r="A50" s="2"/>
      <x:c r="B50" s="2" t="str">
        <x:v>Total non-current liabilities</x:v>
      </x:c>
      <x:c r="C50" s="28" t="n">
        <x:f>'Torrent inputs'!C38/'Torrent inputs'!$C$64</x:f>
        <x:v>3345.86</x:v>
      </x:c>
      <x:c r="D50" s="28" t="n">
        <x:f>'Torrent inputs'!D38/'Torrent inputs'!$C$64</x:f>
        <x:v>2731.8</x:v>
      </x:c>
      <x:c r="E50" s="28" t="n">
        <x:f>'Torrent inputs'!E38/'Torrent inputs'!$C$64</x:f>
        <x:v>3366.48</x:v>
      </x:c>
      <x:c r="F50" s="28" t="n">
        <x:f>'Torrent inputs'!F38/'Torrent inputs'!$C$64</x:f>
        <x:v>2779.18</x:v>
      </x:c>
      <x:c r="G50" s="28" t="n">
        <x:f>'Torrent inputs'!G38/'Torrent inputs'!$C$64</x:f>
        <x:v>2681.86</x:v>
      </x:c>
      <x:c r="H50" s="2"/>
      <x:c r="I50" s="2"/>
      <x:c r="J50" s="2"/>
    </x:row>
    <x:row r="51" ht="22" customHeight="1">
      <x:c r="A51" s="2"/>
      <x:c r="B51" s="38" t="str">
        <x:v>Total equity, including NCI</x:v>
      </x:c>
      <x:c r="C51" s="39" t="n">
        <x:f>'Torrent inputs'!C32/'Torrent inputs'!$C$64</x:f>
        <x:v>5837.17</x:v>
      </x:c>
      <x:c r="D51" s="39" t="n">
        <x:f>'Torrent inputs'!D32/'Torrent inputs'!$C$64</x:f>
        <x:v>5952.95</x:v>
      </x:c>
      <x:c r="E51" s="39" t="n">
        <x:f>'Torrent inputs'!E32/'Torrent inputs'!$C$64</x:f>
        <x:v>6198.07</x:v>
      </x:c>
      <x:c r="F51" s="39" t="n">
        <x:f>'Torrent inputs'!F32/'Torrent inputs'!$C$64</x:f>
        <x:v>6856.15</x:v>
      </x:c>
      <x:c r="G51" s="39" t="n">
        <x:f>'Torrent inputs'!G32/'Torrent inputs'!$C$64</x:f>
        <x:v>7590.69</x:v>
      </x:c>
      <x:c r="H51" s="2"/>
      <x:c r="I51" s="2"/>
      <x:c r="J51" s="2"/>
    </x:row>
    <x:row r="52" ht="22" customHeight="1">
      <x:c r="A52" s="2"/>
      <x:c r="B52" s="30" t="str">
        <x:v>Current ratio (x)</x:v>
      </x:c>
      <x:c r="C52" s="33" t="n">
        <x:f>C47/C49</x:f>
        <x:v>1.1287671568928086</x:v>
      </x:c>
      <x:c r="D52" s="33" t="n">
        <x:f>D47/D49</x:f>
        <x:v>1.1698493122450504</x:v>
      </x:c>
      <x:c r="E52" s="33" t="n">
        <x:f>E47/E49</x:f>
        <x:v>0.9754777596240339</x:v>
      </x:c>
      <x:c r="F52" s="33" t="n">
        <x:f>F47/F49</x:f>
        <x:v>1.0343265287313947</x:v>
      </x:c>
      <x:c r="G52" s="33" t="n">
        <x:f>G47/G49</x:f>
        <x:v>1.191932061248328</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'Torrent inputs'!C42/'Torrent inputs'!$C$64</x:f>
        <x:v>2010.69</x:v>
      </x:c>
      <x:c r="D55" s="39" t="n">
        <x:f>'Torrent inputs'!D42/'Torrent inputs'!$C$64</x:f>
        <x:v>1802.99</x:v>
      </x:c>
      <x:c r="E55" s="39" t="n">
        <x:f>'Torrent inputs'!E42/'Torrent inputs'!$C$64</x:f>
        <x:v>2368.13</x:v>
      </x:c>
      <x:c r="F55" s="39" t="n">
        <x:f>'Torrent inputs'!F42/'Torrent inputs'!$C$64</x:f>
        <x:v>3266.08</x:v>
      </x:c>
      <x:c r="G55" s="39" t="n">
        <x:f>'Torrent inputs'!G42/'Torrent inputs'!$C$64</x:f>
        <x:v>2585.11</x:v>
      </x:c>
      <x:c r="H55" s="2"/>
      <x:c r="I55" s="2"/>
      <x:c r="J55" s="2"/>
    </x:row>
    <x:row r="56" ht="22" customHeight="1">
      <x:c r="A56" s="2"/>
      <x:c r="B56" s="30" t="str">
        <x:v>Operating cash flow / operating EBITDA</x:v>
      </x:c>
      <x:c r="C56" s="31" t="n">
        <x:f>C55/C14</x:f>
        <x:v>0.8089094332335618</x:v>
      </x:c>
      <x:c r="D56" s="31" t="n">
        <x:f>D55/D14</x:f>
        <x:v>0.7415836167928693</x:v>
      </x:c>
      <x:c r="E56" s="31" t="n">
        <x:f>E55/E14</x:f>
        <x:v>0.8332471279534143</x:v>
      </x:c>
      <x:c r="F56" s="31" t="n">
        <x:f>F55/F14</x:f>
        <x:v>0.9698395023235789</x:v>
      </x:c>
      <x:c r="G56" s="31" t="n">
        <x:f>G55/G14</x:f>
        <x:v>0.6947371532844753</x:v>
      </x:c>
      <x:c r="H56" s="2"/>
      <x:c r="I56" s="2"/>
      <x:c r="J56" s="2"/>
    </x:row>
    <x:row r="57" ht="22" customHeight="1">
      <x:c r="A57" s="2"/>
      <x:c r="B57" s="2" t="str">
        <x:v>PPE / combined capex cash spend</x:v>
      </x:c>
      <x:c r="C57" s="28" t="n">
        <x:f>'Torrent inputs'!C43/'Torrent inputs'!$C$64</x:f>
        <x:v>335.15</x:v>
      </x:c>
      <x:c r="D57" s="28" t="n">
        <x:f>'Torrent inputs'!D43/'Torrent inputs'!$C$64</x:f>
        <x:v>202.57</x:v>
      </x:c>
      <x:c r="E57" s="28" t="n">
        <x:f>'Torrent inputs'!E43/'Torrent inputs'!$C$64</x:f>
        <x:v>573.94</x:v>
      </x:c>
      <x:c r="F57" s="28" t="n">
        <x:f>'Torrent inputs'!F43/'Torrent inputs'!$C$64</x:f>
        <x:v>432.78</x:v>
      </x:c>
      <x:c r="G57" s="28" t="n">
        <x:f>'Torrent inputs'!G43/'Torrent inputs'!$C$64</x:f>
        <x:v>611.87</x:v>
      </x:c>
      <x:c r="H57" s="2"/>
      <x:c r="I57" s="2"/>
      <x:c r="J57" s="2"/>
    </x:row>
    <x:row r="58" ht="22" customHeight="1">
      <x:c r="A58" s="2"/>
      <x:c r="B58" s="2" t="str">
        <x:v>Separate intangible cash spend</x:v>
      </x:c>
      <x:c r="C58" s="28" t="n">
        <x:f>'Torrent inputs'!C44/'Torrent inputs'!$C$64</x:f>
        <x:v>0</x:v>
      </x:c>
      <x:c r="D58" s="28" t="n">
        <x:f>'Torrent inputs'!D44/'Torrent inputs'!$C$64</x:f>
        <x:v>0</x:v>
      </x:c>
      <x:c r="E58" s="28" t="n">
        <x:f>'Torrent inputs'!E44/'Torrent inputs'!$C$64</x:f>
        <x:v>0</x:v>
      </x:c>
      <x:c r="F58" s="28" t="n">
        <x:f>'Torrent inputs'!F44/'Torrent inputs'!$C$64</x:f>
        <x:v>0</x:v>
      </x:c>
      <x:c r="G58" s="28" t="n">
        <x:f>'Torrent inputs'!G44/'Torrent inputs'!$C$64</x:f>
        <x:v>0</x:v>
      </x:c>
      <x:c r="H58" s="2"/>
      <x:c r="I58" s="2"/>
      <x:c r="J58" s="2"/>
    </x:row>
    <x:row r="59" ht="22" customHeight="1">
      <x:c r="A59" s="2"/>
      <x:c r="B59" s="38" t="str">
        <x:v>Total capex cash spend</x:v>
      </x:c>
      <x:c r="C59" s="41" t="n">
        <x:f>C57+C58</x:f>
        <x:v>335.15</x:v>
      </x:c>
      <x:c r="D59" s="41" t="n">
        <x:f>D57+D58</x:f>
        <x:v>202.57</x:v>
      </x:c>
      <x:c r="E59" s="41" t="n">
        <x:f>E57+E58</x:f>
        <x:v>573.94</x:v>
      </x:c>
      <x:c r="F59" s="41" t="n">
        <x:f>F57+F58</x:f>
        <x:v>432.78</x:v>
      </x:c>
      <x:c r="G59" s="41" t="n">
        <x:f>G57+G58</x:f>
        <x:v>611.87</x:v>
      </x:c>
      <x:c r="H59" s="2"/>
      <x:c r="I59" s="2"/>
      <x:c r="J59" s="2"/>
    </x:row>
    <x:row r="60" ht="22" customHeight="1">
      <x:c r="A60" s="2"/>
      <x:c r="B60" s="38" t="str">
        <x:v>Cash flow after capex</x:v>
      </x:c>
      <x:c r="C60" s="41" t="n">
        <x:f>C55-C59</x:f>
        <x:v>1675.54</x:v>
      </x:c>
      <x:c r="D60" s="41" t="n">
        <x:f>D55-D59</x:f>
        <x:v>1600.42</x:v>
      </x:c>
      <x:c r="E60" s="41" t="n">
        <x:f>E55-E59</x:f>
        <x:v>1794.19</x:v>
      </x:c>
      <x:c r="F60" s="41" t="n">
        <x:f>F55-F59</x:f>
        <x:v>2833.3</x:v>
      </x:c>
      <x:c r="G60" s="41" t="n">
        <x:f>G55-G59</x:f>
        <x:v>1973.2400000000002</x:v>
      </x:c>
      <x:c r="H60" s="2"/>
      <x:c r="I60" s="2"/>
      <x:c r="J60" s="2"/>
    </x:row>
    <x:row r="61" ht="22" customHeight="1">
      <x:c r="A61" s="2"/>
      <x:c r="B61" s="2" t="str">
        <x:v>Business acquisition cash payment</x:v>
      </x:c>
      <x:c r="C61" s="28" t="n">
        <x:f>'Torrent inputs'!C45/'Torrent inputs'!$C$64</x:f>
        <x:v>0</x:v>
      </x:c>
      <x:c r="D61" s="28" t="n">
        <x:f>'Torrent inputs'!D45/'Torrent inputs'!$C$64</x:f>
        <x:v>0</x:v>
      </x:c>
      <x:c r="E61" s="28" t="n">
        <x:f>'Torrent inputs'!E45/'Torrent inputs'!$C$64</x:f>
        <x:v>2000</x:v>
      </x:c>
      <x:c r="F61" s="28" t="n">
        <x:f>'Torrent inputs'!F45/'Torrent inputs'!$C$64</x:f>
        <x:v>0</x:v>
      </x:c>
      <x:c r="G61" s="28" t="n">
        <x:f>'Torrent inputs'!G45/'Torrent inputs'!$C$64</x:f>
        <x:v>0</x:v>
      </x:c>
      <x:c r="H61" s="2"/>
      <x:c r="I61" s="2"/>
      <x:c r="J61" s="2"/>
    </x:row>
    <x:row r="62" ht="22" customHeight="1">
      <x:c r="A62" s="2"/>
      <x:c r="B62" s="38" t="str">
        <x:v>Cash flow after capex &amp; business purchases</x:v>
      </x:c>
      <x:c r="C62" s="41" t="n">
        <x:f>C60-C61</x:f>
        <x:v>1675.54</x:v>
      </x:c>
      <x:c r="D62" s="41" t="n">
        <x:f>D60-D61</x:f>
        <x:v>1600.42</x:v>
      </x:c>
      <x:c r="E62" s="41" t="n">
        <x:f>E60-E61</x:f>
        <x:v>-205.80999999999995</x:v>
      </x:c>
      <x:c r="F62" s="41" t="n">
        <x:f>F60-F61</x:f>
        <x:v>2833.3</x:v>
      </x:c>
      <x:c r="G62" s="41" t="n">
        <x:f>G60-G61</x:f>
        <x:v>1973.2400000000002</x:v>
      </x:c>
      <x:c r="H62" s="2"/>
      <x:c r="I62" s="2"/>
      <x:c r="J62" s="2"/>
    </x:row>
    <x:row r="63" ht="22" customHeight="1">
      <x:c r="A63" s="2"/>
      <x:c r="B63" s="2" t="str">
        <x:v>Net investing cash flow</x:v>
      </x:c>
      <x:c r="C63" s="28" t="n">
        <x:f>'Torrent inputs'!C46/'Torrent inputs'!$C$64</x:f>
        <x:v>-449.42</x:v>
      </x:c>
      <x:c r="D63" s="28" t="n">
        <x:f>'Torrent inputs'!D46/'Torrent inputs'!$C$64</x:f>
        <x:v>-196.63</x:v>
      </x:c>
      <x:c r="E63" s="28" t="n">
        <x:f>'Torrent inputs'!E46/'Torrent inputs'!$C$64</x:f>
        <x:v>-2415.31</x:v>
      </x:c>
      <x:c r="F63" s="28" t="n">
        <x:f>'Torrent inputs'!F46/'Torrent inputs'!$C$64</x:f>
        <x:v>-167.9</x:v>
      </x:c>
      <x:c r="G63" s="28" t="n">
        <x:f>'Torrent inputs'!G46/'Torrent inputs'!$C$64</x:f>
        <x:v>-540.05</x:v>
      </x:c>
      <x:c r="H63" s="2"/>
      <x:c r="I63" s="2"/>
      <x:c r="J63" s="2"/>
    </x:row>
    <x:row r="64" ht="22" customHeight="1">
      <x:c r="A64" s="2"/>
      <x:c r="B64" s="2" t="str">
        <x:v>Net financing cash flow</x:v>
      </x:c>
      <x:c r="C64" s="28" t="n">
        <x:f>'Torrent inputs'!C47/'Torrent inputs'!$C$64</x:f>
        <x:v>-1656.13</x:v>
      </x:c>
      <x:c r="D64" s="28" t="n">
        <x:f>'Torrent inputs'!D47/'Torrent inputs'!$C$64</x:f>
        <x:v>-1781.05</x:v>
      </x:c>
      <x:c r="E64" s="28" t="n">
        <x:f>'Torrent inputs'!E47/'Torrent inputs'!$C$64</x:f>
        <x:v>77.36</x:v>
      </x:c>
      <x:c r="F64" s="28" t="n">
        <x:f>'Torrent inputs'!F47/'Torrent inputs'!$C$64</x:f>
        <x:v>-2779.64</x:v>
      </x:c>
      <x:c r="G64" s="28" t="n">
        <x:f>'Torrent inputs'!G47/'Torrent inputs'!$C$64</x:f>
        <x:v>-2297.99</x:v>
      </x:c>
      <x:c r="H64" s="2"/>
      <x:c r="I64" s="2"/>
      <x:c r="J64" s="2"/>
    </x:row>
    <x:row r="65" ht="22" customHeight="1">
      <x:c r="A65" s="2"/>
      <x:c r="B65" s="2" t="str">
        <x:v>Exchange effect on cash</x:v>
      </x:c>
      <x:c r="C65" s="28" t="n">
        <x:f>'Torrent inputs'!C48/'Torrent inputs'!$C$64</x:f>
        <x:v>5.6</x:v>
      </x:c>
      <x:c r="D65" s="28" t="n">
        <x:f>'Torrent inputs'!D48/'Torrent inputs'!$C$64</x:f>
        <x:v>0.53</x:v>
      </x:c>
      <x:c r="E65" s="28" t="n">
        <x:f>'Torrent inputs'!E48/'Torrent inputs'!$C$64</x:f>
        <x:v>21.12</x:v>
      </x:c>
      <x:c r="F65" s="28" t="n">
        <x:f>'Torrent inputs'!F48/'Torrent inputs'!$C$64</x:f>
        <x:v>8.07</x:v>
      </x:c>
      <x:c r="G65" s="28" t="n">
        <x:f>'Torrent inputs'!G48/'Torrent inputs'!$C$64</x:f>
        <x:v>-8.73</x:v>
      </x:c>
      <x:c r="H65" s="2"/>
      <x:c r="I65" s="2"/>
      <x:c r="J65" s="2"/>
    </x:row>
    <x:row r="66" ht="22" customHeight="1">
      <x:c r="A66" s="2"/>
      <x:c r="B66" s="2" t="str">
        <x:v>Opening cash: cash-flow statement</x:v>
      </x:c>
      <x:c r="C66" s="28" t="n">
        <x:f>'Torrent inputs'!C49/'Torrent inputs'!$C$64</x:f>
        <x:v>661.82</x:v>
      </x:c>
      <x:c r="D66" s="28" t="n">
        <x:f>'Torrent inputs'!D49/'Torrent inputs'!$C$64</x:f>
        <x:v>572.56</x:v>
      </x:c>
      <x:c r="E66" s="28" t="n">
        <x:f>'Torrent inputs'!E49/'Torrent inputs'!$C$64</x:f>
        <x:v>398.4</x:v>
      </x:c>
      <x:c r="F66" s="28" t="n">
        <x:f>'Torrent inputs'!F49/'Torrent inputs'!$C$64</x:f>
        <x:v>508.53</x:v>
      </x:c>
      <x:c r="G66" s="28" t="n">
        <x:f>'Torrent inputs'!G49/'Torrent inputs'!$C$64</x:f>
        <x:v>835.14</x:v>
      </x:c>
      <x:c r="H66" s="2"/>
      <x:c r="I66" s="2"/>
      <x:c r="J66" s="2"/>
    </x:row>
    <x:row r="67" ht="22" customHeight="1">
      <x:c r="A67" s="2"/>
      <x:c r="B67" s="2" t="str">
        <x:v>Cash acquired with subsidiary</x:v>
      </x:c>
      <x:c r="C67" s="28" t="n">
        <x:f>'Torrent inputs'!C50/'Torrent inputs'!$C$64</x:f>
        <x:v>0</x:v>
      </x:c>
      <x:c r="D67" s="28" t="n">
        <x:f>'Torrent inputs'!D50/'Torrent inputs'!$C$64</x:f>
        <x:v>0</x:v>
      </x:c>
      <x:c r="E67" s="28" t="n">
        <x:f>'Torrent inputs'!E50/'Torrent inputs'!$C$64</x:f>
        <x:v>58.83</x:v>
      </x:c>
      <x:c r="F67" s="28" t="n">
        <x:f>'Torrent inputs'!F50/'Torrent inputs'!$C$64</x:f>
        <x:v>0</x:v>
      </x:c>
      <x:c r="G67" s="28" t="n">
        <x:f>'Torrent inputs'!G50/'Torrent inputs'!$C$64</x:f>
        <x:v>0</x:v>
      </x:c>
      <x:c r="H67" s="2"/>
      <x:c r="I67" s="2"/>
      <x:c r="J67" s="2"/>
    </x:row>
    <x:row r="68" ht="22" customHeight="1">
      <x:c r="A68" s="2"/>
      <x:c r="B68" s="38" t="str">
        <x:v>Calculated closing cash: cash-flow statement</x:v>
      </x:c>
      <x:c r="C68" s="41" t="n">
        <x:f>SUM(C63:C67)+C55</x:f>
        <x:v>572.56</x:v>
      </x:c>
      <x:c r="D68" s="41" t="n">
        <x:f>SUM(D63:D67)+D55</x:f>
        <x:v>398.4000000000001</x:v>
      </x:c>
      <x:c r="E68" s="41" t="n">
        <x:f>SUM(E63:E67)+E55</x:f>
        <x:v>508.5300000000002</x:v>
      </x:c>
      <x:c r="F68" s="41" t="n">
        <x:f>SUM(F63:F67)+F55</x:f>
        <x:v>835.1400000000003</x:v>
      </x:c>
      <x:c r="G68" s="41" t="n">
        <x:f>SUM(G63:G67)+G55</x:f>
        <x:v>573.48</x:v>
      </x:c>
      <x:c r="H68" s="2"/>
      <x:c r="I68" s="2"/>
      <x:c r="J68" s="2"/>
    </x:row>
    <x:row r="69" ht="22" customHeight="1">
      <x:c r="A69" s="2"/>
      <x:c r="B69" s="2" t="str">
        <x:v>Add: overdraft netted in cash-flow statement</x:v>
      </x:c>
      <x:c r="C69" s="28" t="n">
        <x:f>'Torrent inputs'!C52/'Torrent inputs'!$C$64</x:f>
        <x:v>0</x:v>
      </x:c>
      <x:c r="D69" s="28" t="n">
        <x:f>'Torrent inputs'!D52/'Torrent inputs'!$C$64</x:f>
        <x:v>0</x:v>
      </x:c>
      <x:c r="E69" s="28" t="n">
        <x:f>'Torrent inputs'!E52/'Torrent inputs'!$C$64</x:f>
        <x:v>0</x:v>
      </x:c>
      <x:c r="F69" s="28" t="n">
        <x:f>'Torrent inputs'!F52/'Torrent inputs'!$C$64</x:f>
        <x:v>0</x:v>
      </x:c>
      <x:c r="G69" s="28" t="n">
        <x:f>'Torrent inputs'!G52/'Torrent inputs'!$C$64</x:f>
        <x:v>0</x:v>
      </x:c>
      <x:c r="H69" s="2"/>
      <x:c r="I69" s="2"/>
      <x:c r="J69" s="2"/>
    </x:row>
    <x:row r="70" ht="22" customHeight="1">
      <x:c r="A70" s="2"/>
      <x:c r="B70" s="38" t="str">
        <x:v>Calculated balance-sheet cash</x:v>
      </x:c>
      <x:c r="C70" s="41" t="n">
        <x:f>C68+C69</x:f>
        <x:v>572.56</x:v>
      </x:c>
      <x:c r="D70" s="41" t="n">
        <x:f>D68+D69</x:f>
        <x:v>398.4000000000001</x:v>
      </x:c>
      <x:c r="E70" s="41" t="n">
        <x:f>E68+E69</x:f>
        <x:v>508.5300000000002</x:v>
      </x:c>
      <x:c r="F70" s="41" t="n">
        <x:f>F68+F69</x:f>
        <x:v>835.1400000000003</x:v>
      </x:c>
      <x:c r="G70" s="41" t="n">
        <x:f>G68+G69</x:f>
        <x:v>573.48</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'Torrent inputs'!C55*'Torrent inputs'!C58/'Torrent inputs'!$C$66</x:f>
        <x:v>33.844544</x:v>
      </x:c>
      <x:c r="D73" s="34" t="n">
        <x:f>'Torrent inputs'!D55*'Torrent inputs'!D58/'Torrent inputs'!$C$66</x:f>
        <x:v>33.844544</x:v>
      </x:c>
      <x:c r="E73" s="34" t="n">
        <x:f>'Torrent inputs'!E55*'Torrent inputs'!E58/'Torrent inputs'!$C$66</x:f>
        <x:v>33.844544</x:v>
      </x:c>
      <x:c r="F73" s="34" t="n">
        <x:f>'Torrent inputs'!F55*'Torrent inputs'!F58/'Torrent inputs'!$C$66</x:f>
        <x:v>33.844544</x:v>
      </x:c>
      <x:c r="G73" s="34" t="n">
        <x:f>'Torrent inputs'!G55*'Torrent inputs'!G58/'Torrent inputs'!$C$66</x:f>
        <x:v>33.844544</x:v>
      </x:c>
      <x:c r="H73" s="2"/>
      <x:c r="I73" s="2"/>
      <x:c r="J73" s="2"/>
    </x:row>
    <x:row r="74" ht="22" customHeight="1">
      <x:c r="A74" s="2"/>
      <x:c r="B74" s="2" t="str">
        <x:v>Weighted-average diluted shares (crore)</x:v>
      </x:c>
      <x:c r="C74" s="34" t="n">
        <x:f>'Torrent inputs'!C56*'Torrent inputs'!C58/'Torrent inputs'!$C$66</x:f>
        <x:v>33.844544</x:v>
      </x:c>
      <x:c r="D74" s="34" t="n">
        <x:f>'Torrent inputs'!D56*'Torrent inputs'!D58/'Torrent inputs'!$C$66</x:f>
        <x:v>33.844544</x:v>
      </x:c>
      <x:c r="E74" s="34" t="n">
        <x:f>'Torrent inputs'!E56*'Torrent inputs'!E58/'Torrent inputs'!$C$66</x:f>
        <x:v>33.844544</x:v>
      </x:c>
      <x:c r="F74" s="34" t="n">
        <x:f>'Torrent inputs'!F56*'Torrent inputs'!F58/'Torrent inputs'!$C$66</x:f>
        <x:v>33.844544</x:v>
      </x:c>
      <x:c r="G74" s="34" t="n">
        <x:f>'Torrent inputs'!G56*'Torrent inputs'!G58/'Torrent inputs'!$C$66</x:f>
        <x:v>33.844544</x:v>
      </x:c>
      <x:c r="H74" s="2"/>
      <x:c r="I74" s="2"/>
      <x:c r="J74" s="2"/>
    </x:row>
    <x:row r="75" ht="22" customHeight="1">
      <x:c r="A75" s="2"/>
      <x:c r="B75" s="2" t="str">
        <x:v>Closing issued shares (crore)</x:v>
      </x:c>
      <x:c r="C75" s="34" t="n">
        <x:f>'Torrent inputs'!C57*'Torrent inputs'!C59/'Torrent inputs'!$C$66</x:f>
        <x:v>33.844544</x:v>
      </x:c>
      <x:c r="D75" s="34" t="n">
        <x:f>'Torrent inputs'!D57*'Torrent inputs'!D59/'Torrent inputs'!$C$66</x:f>
        <x:v>33.844544</x:v>
      </x:c>
      <x:c r="E75" s="34" t="n">
        <x:f>'Torrent inputs'!E57*'Torrent inputs'!E59/'Torrent inputs'!$C$66</x:f>
        <x:v>33.844544</x:v>
      </x:c>
      <x:c r="F75" s="34" t="n">
        <x:f>'Torrent inputs'!F57*'Torrent inputs'!F59/'Torrent inputs'!$C$66</x:f>
        <x:v>33.844544</x:v>
      </x:c>
      <x:c r="G75" s="34" t="n">
        <x:f>'Torrent inputs'!G57*'Torrent inputs'!G59/'Torrent inputs'!$C$66</x:f>
        <x:v>33.844544</x:v>
      </x:c>
      <x:c r="H75" s="2"/>
      <x:c r="I75" s="2"/>
      <x:c r="J75" s="2"/>
    </x:row>
    <x:row r="76" ht="22" customHeight="1">
      <x:c r="A76" s="2"/>
      <x:c r="B76" s="38" t="str">
        <x:v>Basic EPS on FY25 share basis (INR)</x:v>
      </x:c>
      <x:c r="C76" s="43" t="n">
        <x:f>C28/C73</x:f>
        <x:v>36.98912297355817</x:v>
      </x:c>
      <x:c r="D76" s="43" t="n">
        <x:f>D28/D73</x:f>
        <x:v>22.963228578290195</x:v>
      </x:c>
      <x:c r="E76" s="43" t="n">
        <x:f>E28/E73</x:f>
        <x:v>36.79263635521282</x:v>
      </x:c>
      <x:c r="F76" s="43" t="n">
        <x:f>F28/F73</x:f>
        <x:v>48.940827803736994</x:v>
      </x:c>
      <x:c r="G76" s="43" t="n">
        <x:f>G28/G73</x:f>
        <x:v>56.47143598684621</x:v>
      </x:c>
      <x:c r="H76" s="2"/>
      <x:c r="I76" s="2"/>
      <x:c r="J76" s="2"/>
    </x:row>
    <x:row r="77" ht="22" customHeight="1">
      <x:c r="A77" s="2"/>
      <x:c r="B77" s="38" t="str">
        <x:v>Diluted EPS on FY25 share basis (INR)</x:v>
      </x:c>
      <x:c r="C77" s="43" t="n">
        <x:f>C28/C74</x:f>
        <x:v>36.98912297355817</x:v>
      </x:c>
      <x:c r="D77" s="43" t="n">
        <x:f>D28/D74</x:f>
        <x:v>22.963228578290195</x:v>
      </x:c>
      <x:c r="E77" s="43" t="n">
        <x:f>E28/E74</x:f>
        <x:v>36.79263635521282</x:v>
      </x:c>
      <x:c r="F77" s="43" t="n">
        <x:f>F28/F74</x:f>
        <x:v>48.940827803736994</x:v>
      </x:c>
      <x:c r="G77" s="43" t="n">
        <x:f>G28/G74</x:f>
        <x:v>56.47143598684621</x:v>
      </x:c>
      <x:c r="H77" s="2"/>
      <x:c r="I77" s="2"/>
      <x:c r="J77" s="2"/>
    </x:row>
    <x:row r="78" ht="22" customHeight="1">
      <x:c r="A78" s="2"/>
      <x:c r="B78" s="30" t="str">
        <x:v>Basic EPS growth</x:v>
      </x:c>
      <x:c r="C78" s="31" t="str">
        <x:v>n/a</x:v>
      </x:c>
      <x:c r="D78" s="31" t="n">
        <x:f>D76/C76-1</x:f>
        <x:v>-0.37918969869316566</x:v>
      </x:c>
      <x:c r="E78" s="31" t="n">
        <x:f>E76/D76-1</x:f>
        <x:v>0.6022414369901439</x:v>
      </x:c>
      <x:c r="F78" s="31" t="n">
        <x:f>F76/E76-1</x:f>
        <x:v>0.33017996675313</x:v>
      </x:c>
      <x:c r="G78" s="31" t="n">
        <x:f>G76/F76-1</x:f>
        <x:v>0.1538716961083808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C24-('Torrent inputs'!C18/'Torrent inputs'!$C$64)</x:f>
        <x:v>4.547473508864641e-13</x:v>
      </x:c>
      <x:c r="D81" s="34" t="n">
        <x:f>D24-('Torrent inputs'!D18/'Torrent inputs'!$C$64)</x:f>
        <x:v>9.094947017729282e-13</x:v>
      </x:c>
      <x:c r="E81" s="34" t="n">
        <x:f>E24-('Torrent inputs'!E18/'Torrent inputs'!$C$64)</x:f>
        <x:v>-1.5916157281026244e-12</x:v>
      </x:c>
      <x:c r="F81" s="34" t="n">
        <x:f>F24-('Torrent inputs'!F18/'Torrent inputs'!$C$64)</x:f>
        <x:v>-4.547473508864641e-13</x:v>
      </x:c>
      <x:c r="G81" s="34" t="n">
        <x:f>G24-('Torrent inputs'!G18/'Torrent inputs'!$C$64)</x:f>
        <x:v>9.094947017729282e-13</x:v>
      </x:c>
      <x:c r="H81" s="2"/>
      <x:c r="I81" s="2"/>
      <x:c r="J81" s="2"/>
    </x:row>
    <x:row r="82" ht="22" customHeight="1">
      <x:c r="A82" s="2"/>
      <x:c r="B82" s="2" t="str">
        <x:v>PAT vs reported: difference</x:v>
      </x:c>
      <x:c r="C82" s="34" t="n">
        <x:f>C27-('Torrent inputs'!C19/'Torrent inputs'!$C$64)</x:f>
        <x:v>4.547473508864641e-13</x:v>
      </x:c>
      <x:c r="D82" s="34" t="n">
        <x:f>D27-('Torrent inputs'!D19/'Torrent inputs'!$C$64)</x:f>
        <x:v>1.0231815394945443e-12</x:v>
      </x:c>
      <x:c r="E82" s="34" t="n">
        <x:f>E27-('Torrent inputs'!E19/'Torrent inputs'!$C$64)</x:f>
        <x:v>-1.3642420526593924e-12</x:v>
      </x:c>
      <x:c r="F82" s="34" t="n">
        <x:f>F27-('Torrent inputs'!F19/'Torrent inputs'!$C$64)</x:f>
        <x:v>-4.547473508864641e-13</x:v>
      </x:c>
      <x:c r="G82" s="34" t="n">
        <x:f>G27-('Torrent inputs'!G19/'Torrent inputs'!$C$64)</x:f>
        <x:v>9.094947017729282e-13</x:v>
      </x:c>
      <x:c r="H82" s="2"/>
      <x:c r="I82" s="2"/>
      <x:c r="J82" s="2"/>
    </x:row>
    <x:row r="83" ht="22" customHeight="1">
      <x:c r="A83" s="2"/>
      <x:c r="B83" s="2" t="str">
        <x:v>Assets less liabilities and equity</x:v>
      </x:c>
      <x:c r="C83" s="35" t="n">
        <x:f>C48-C49-C50-C51</x:f>
        <x:v>-1.8189894035458565e-12</x:v>
      </x:c>
      <x:c r="D83" s="35" t="n">
        <x:f>D48-D49-D50-D51</x:f>
        <x:v>0</x:v>
      </x:c>
      <x:c r="E83" s="35" t="n">
        <x:f>E48-E49-E50-E51</x:f>
        <x:v>0</x:v>
      </x:c>
      <x:c r="F83" s="35" t="n">
        <x:f>F48-F49-F50-F51</x:f>
        <x:v>0</x:v>
      </x:c>
      <x:c r="G83" s="35" t="n">
        <x:f>G48-G49-G50-G51</x:f>
        <x:v>-9.094947017729282e-13</x:v>
      </x:c>
      <x:c r="H83" s="2"/>
      <x:c r="I83" s="2"/>
      <x:c r="J83" s="2"/>
    </x:row>
    <x:row r="84" ht="22" customHeight="1">
      <x:c r="A84" s="2"/>
      <x:c r="B84" s="2" t="str">
        <x:v>Cash-flow bridge vs reported cash</x:v>
      </x:c>
      <x:c r="C84" s="34" t="n">
        <x:f>C68-('Torrent inputs'!C51/'Torrent inputs'!$C$64)</x:f>
        <x:v>0</x:v>
      </x:c>
      <x:c r="D84" s="34" t="n">
        <x:f>D68-('Torrent inputs'!D51/'Torrent inputs'!$C$64)</x:f>
        <x:v>1.1368683772161603e-13</x:v>
      </x:c>
      <x:c r="E84" s="34" t="n">
        <x:f>E68-('Torrent inputs'!E51/'Torrent inputs'!$C$64)</x:f>
        <x:v>2.2737367544323206e-13</x:v>
      </x:c>
      <x:c r="F84" s="34" t="n">
        <x:f>F68-('Torrent inputs'!F51/'Torrent inputs'!$C$64)</x:f>
        <x:v>3.410605131648481e-13</x:v>
      </x:c>
      <x:c r="G84" s="34" t="n">
        <x:f>G68-('Torrent inputs'!G51/'Torrent inputs'!$C$64)</x:f>
        <x:v>0</x:v>
      </x:c>
      <x:c r="H84" s="2"/>
      <x:c r="I84" s="2"/>
      <x:c r="J84" s="2"/>
    </x:row>
    <x:row r="85" ht="22" customHeight="1">
      <x:c r="A85" s="2"/>
      <x:c r="B85" s="2" t="str">
        <x:v>Cash bridge vs balance-sheet cash</x:v>
      </x:c>
      <x:c r="C85" s="35" t="n">
        <x:f>C70-C41</x:f>
        <x:v>0</x:v>
      </x:c>
      <x:c r="D85" s="35" t="n">
        <x:f>D70-D41</x:f>
        <x:v>1.1368683772161603e-13</x:v>
      </x:c>
      <x:c r="E85" s="35" t="n">
        <x:f>E70-E41</x:f>
        <x:v>2.2737367544323206e-13</x:v>
      </x:c>
      <x:c r="F85" s="35" t="n">
        <x:f>F70-F41</x:f>
        <x:v>3.410605131648481e-13</x:v>
      </x:c>
      <x:c r="G85" s="35" t="n">
        <x:f>G70-G41</x:f>
        <x:v>0</x:v>
      </x:c>
      <x:c r="H85" s="2"/>
      <x:c r="I85" s="2"/>
      <x:c r="J85" s="2"/>
    </x:row>
    <x:row r="86" ht="22" customHeight="1">
      <x:c r="A86" s="2"/>
      <x:c r="B86" s="2" t="str">
        <x:v>Basic EPS vs adjusted reported EPS</x:v>
      </x:c>
      <x:c r="C86" s="34" t="n">
        <x:f>C76-'Torrent inputs'!C60/'Torrent inputs'!C58</x:f>
        <x:v>-0.0008770264418345164</x:v>
      </x:c>
      <x:c r="D86" s="34" t="n">
        <x:f>D76-'Torrent inputs'!D60/'Torrent inputs'!D58</x:f>
        <x:v>0.003228578290194406</x:v>
      </x:c>
      <x:c r="E86" s="34" t="n">
        <x:f>E76-'Torrent inputs'!E60/'Torrent inputs'!E58</x:f>
        <x:v>0.002636355212821684</x:v>
      </x:c>
      <x:c r="F86" s="34" t="n">
        <x:f>F76-'Torrent inputs'!F60/'Torrent inputs'!F58</x:f>
        <x:v>0.0008278037369962021</x:v>
      </x:c>
      <x:c r="G86" s="34" t="n">
        <x:f>G76-'Torrent inputs'!G60/'Torrent inputs'!G58</x:f>
        <x:v>0.0014359868462108238</x:v>
      </x:c>
      <x:c r="H86" s="2"/>
      <x:c r="I86" s="2"/>
      <x:c r="J86" s="2"/>
    </x:row>
    <x:row r="87" ht="22" customHeight="1">
      <x:c r="A87" s="2"/>
      <x:c r="B87" s="2" t="str">
        <x:v>Diluted EPS vs adjusted reported EPS</x:v>
      </x:c>
      <x:c r="C87" s="34" t="n">
        <x:f>C77-'Torrent inputs'!C61/'Torrent inputs'!C58</x:f>
        <x:v>-0.0008770264418345164</x:v>
      </x:c>
      <x:c r="D87" s="34" t="n">
        <x:f>D77-'Torrent inputs'!D61/'Torrent inputs'!D58</x:f>
        <x:v>0.003228578290194406</x:v>
      </x:c>
      <x:c r="E87" s="34" t="n">
        <x:f>E77-'Torrent inputs'!E61/'Torrent inputs'!E58</x:f>
        <x:v>0.002636355212821684</x:v>
      </x:c>
      <x:c r="F87" s="34" t="n">
        <x:f>F77-'Torrent inputs'!F61/'Torrent inputs'!F58</x:f>
        <x:v>0.0008278037369962021</x:v>
      </x:c>
      <x:c r="G87" s="34" t="n">
        <x:f>G77-'Torrent inputs'!G61/'Torrent inputs'!G58</x:f>
        <x:v>0.0014359868462108238</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 includes INR 484.70 crore exceptional impairment; FY24 includes an INR 88.38 crore exceptional gain. D&amp;A retains any non-exceptional impairment. FY23 acquisition payments relate to Curatio.</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0" priority="1" operator="containsText" text="REVIEW"/>
  </x:conditionalFormatting>
  <x:pageMargins left="0.7" right="0.7" top="0.75" bottom="0.75" header="0.3" footer="0.3"/>
</x:worksheet>
</file>

<file path=xl/worksheets/sheet3.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JB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'JB inputs'!C7/'JB inputs'!$C$64</x:f>
        <x:v>2042.5214999999998</x:v>
      </x:c>
      <x:c r="D7" s="39" t="n">
        <x:f>'JB inputs'!D7/'JB inputs'!$C$64</x:f>
        <x:v>2424.2438</x:v>
      </x:c>
      <x:c r="E7" s="39" t="n">
        <x:f>'JB inputs'!E7/'JB inputs'!$C$64</x:f>
        <x:v>3149.2828000000004</x:v>
      </x:c>
      <x:c r="F7" s="39" t="n">
        <x:f>'JB inputs'!F7/'JB inputs'!$C$64</x:f>
        <x:v>3484.1838000000002</x:v>
      </x:c>
      <x:c r="G7" s="39" t="n">
        <x:f>'JB inputs'!G7/'JB inputs'!$C$64</x:f>
        <x:v>3917.9885999999997</x:v>
      </x:c>
      <x:c r="H7" s="2"/>
      <x:c r="I7" s="2"/>
      <x:c r="J7" s="2"/>
    </x:row>
    <x:row r="8" ht="22" customHeight="1">
      <x:c r="A8" s="2"/>
      <x:c r="B8" s="30" t="str">
        <x:v>Revenue growth</x:v>
      </x:c>
      <x:c r="C8" s="31" t="str">
        <x:v>n/a</x:v>
      </x:c>
      <x:c r="D8" s="31" t="n">
        <x:f>D7/C7-1</x:f>
        <x:v>0.18688777572231197</x:v>
      </x:c>
      <x:c r="E8" s="31" t="n">
        <x:f>E7/D7-1</x:f>
        <x:v>0.29907841777299793</x:v>
      </x:c>
      <x:c r="F8" s="31" t="n">
        <x:f>F7/E7-1</x:f>
        <x:v>0.10634198999213407</x:v>
      </x:c>
      <x:c r="G8" s="31" t="n">
        <x:f>G7/F7-1</x:f>
        <x:v>0.12450686441972425</x:v>
      </x:c>
      <x:c r="H8" s="2"/>
      <x:c r="I8" s="2"/>
      <x:c r="J8" s="2"/>
    </x:row>
    <x:row r="9" ht="22" customHeight="1">
      <x:c r="A9" s="2"/>
      <x:c r="B9" s="2" t="str">
        <x:v>Cost of goods sold</x:v>
      </x:c>
      <x:c r="C9" s="28" t="n">
        <x:f>('JB inputs'!C8+'JB inputs'!C9+'JB inputs'!C10)/'JB inputs'!$C$64</x:f>
        <x:v>701.4989999999999</x:v>
      </x:c>
      <x:c r="D9" s="28" t="n">
        <x:f>('JB inputs'!D8+'JB inputs'!D9+'JB inputs'!D10)/'JB inputs'!$C$64</x:f>
        <x:v>842.9341000000001</x:v>
      </x:c>
      <x:c r="E9" s="28" t="n">
        <x:f>('JB inputs'!E8+'JB inputs'!E9+'JB inputs'!E10)/'JB inputs'!$C$64</x:f>
        <x:v>1168.2017</x:v>
      </x:c>
      <x:c r="F9" s="28" t="n">
        <x:f>('JB inputs'!F8+'JB inputs'!F9+'JB inputs'!F10)/'JB inputs'!$C$64</x:f>
        <x:v>1182.0563</x:v>
      </x:c>
      <x:c r="G9" s="28" t="n">
        <x:f>('JB inputs'!G8+'JB inputs'!G9+'JB inputs'!G10)/'JB inputs'!$C$64</x:f>
        <x:v>1316.5497</x:v>
      </x:c>
      <x:c r="H9" s="2"/>
      <x:c r="I9" s="2"/>
      <x:c r="J9" s="2"/>
    </x:row>
    <x:row r="10" ht="22" customHeight="1">
      <x:c r="A10" s="2"/>
      <x:c r="B10" s="38" t="str">
        <x:v>Gross profit</x:v>
      </x:c>
      <x:c r="C10" s="41" t="n">
        <x:f>C7-C9</x:f>
        <x:v>1341.0225</x:v>
      </x:c>
      <x:c r="D10" s="41" t="n">
        <x:f>D7-D9</x:f>
        <x:v>1581.3097000000002</x:v>
      </x:c>
      <x:c r="E10" s="41" t="n">
        <x:f>E7-E9</x:f>
        <x:v>1981.0811000000003</x:v>
      </x:c>
      <x:c r="F10" s="41" t="n">
        <x:f>F7-F9</x:f>
        <x:v>2302.1275000000005</x:v>
      </x:c>
      <x:c r="G10" s="41" t="n">
        <x:f>G7-G9</x:f>
        <x:v>2601.4388999999996</x:v>
      </x:c>
      <x:c r="H10" s="2"/>
      <x:c r="I10" s="2"/>
      <x:c r="J10" s="2"/>
    </x:row>
    <x:row r="11" ht="22" customHeight="1">
      <x:c r="A11" s="2"/>
      <x:c r="B11" s="30" t="str">
        <x:v>Gross margin</x:v>
      </x:c>
      <x:c r="C11" s="31" t="n">
        <x:f>C10/C7</x:f>
        <x:v>0.6565524524466451</x:v>
      </x:c>
      <x:c r="D11" s="31" t="n">
        <x:f>D10/D7</x:f>
        <x:v>0.6522898810754926</x:v>
      </x:c>
      <x:c r="E11" s="31" t="n">
        <x:f>E10/E7</x:f>
        <x:v>0.6290578604119008</x:v>
      </x:c>
      <x:c r="F11" s="31" t="n">
        <x:f>F10/F7</x:f>
        <x:v>0.6607365260122041</x:v>
      </x:c>
      <x:c r="G11" s="31" t="n">
        <x:f>G10/G7</x:f>
        <x:v>0.663973065158995</x:v>
      </x:c>
      <x:c r="H11" s="2"/>
      <x:c r="I11" s="2"/>
      <x:c r="J11" s="2"/>
    </x:row>
    <x:row r="12" ht="22" customHeight="1">
      <x:c r="A12" s="2"/>
      <x:c r="B12" s="2" t="str">
        <x:v>Employee expense</x:v>
      </x:c>
      <x:c r="C12" s="28" t="n">
        <x:f>'JB inputs'!C11/'JB inputs'!$C$64</x:f>
        <x:v>340.60089999999997</x:v>
      </x:c>
      <x:c r="D12" s="28" t="n">
        <x:f>'JB inputs'!D11/'JB inputs'!$C$64</x:f>
        <x:v>439.2422</x:v>
      </x:c>
      <x:c r="E12" s="28" t="n">
        <x:f>'JB inputs'!E11/'JB inputs'!$C$64</x:f>
        <x:v>543.451</x:v>
      </x:c>
      <x:c r="F12" s="28" t="n">
        <x:f>'JB inputs'!F11/'JB inputs'!$C$64</x:f>
        <x:v>601.4111</x:v>
      </x:c>
      <x:c r="G12" s="28" t="n">
        <x:f>'JB inputs'!G11/'JB inputs'!$C$64</x:f>
        <x:v>687.6078</x:v>
      </x:c>
      <x:c r="H12" s="2"/>
      <x:c r="I12" s="2"/>
      <x:c r="J12" s="2"/>
    </x:row>
    <x:row r="13" ht="22" customHeight="1">
      <x:c r="A13" s="2"/>
      <x:c r="B13" s="2" t="str">
        <x:v>Other operating expenses</x:v>
      </x:c>
      <x:c r="C13" s="28" t="n">
        <x:f>'JB inputs'!C12/'JB inputs'!$C$64</x:f>
        <x:v>440.0127</x:v>
      </x:c>
      <x:c r="D13" s="28" t="n">
        <x:f>'JB inputs'!D12/'JB inputs'!$C$64</x:f>
        <x:v>598.6114</x:v>
      </x:c>
      <x:c r="E13" s="28" t="n">
        <x:f>'JB inputs'!E12/'JB inputs'!$C$64</x:f>
        <x:v>741.8775999999999</x:v>
      </x:c>
      <x:c r="F13" s="28" t="n">
        <x:f>'JB inputs'!F12/'JB inputs'!$C$64</x:f>
        <x:v>803.8261</x:v>
      </x:c>
      <x:c r="G13" s="28" t="n">
        <x:f>'JB inputs'!G12/'JB inputs'!$C$64</x:f>
        <x:v>881.9925999999999</x:v>
      </x:c>
      <x:c r="H13" s="2"/>
      <x:c r="I13" s="2"/>
      <x:c r="J13" s="2"/>
    </x:row>
    <x:row r="14" ht="22" customHeight="1">
      <x:c r="A14" s="2"/>
      <x:c r="B14" s="38" t="str">
        <x:v>Operating EBITDA</x:v>
      </x:c>
      <x:c r="C14" s="41" t="n">
        <x:f>C10-C12-C13</x:f>
        <x:v>560.4089000000001</x:v>
      </x:c>
      <x:c r="D14" s="41" t="n">
        <x:f>D10-D12-D13</x:f>
        <x:v>543.4561000000001</x:v>
      </x:c>
      <x:c r="E14" s="41" t="n">
        <x:f>E10-E12-E13</x:f>
        <x:v>695.7525000000004</x:v>
      </x:c>
      <x:c r="F14" s="41" t="n">
        <x:f>F10-F12-F13</x:f>
        <x:v>896.8903000000005</x:v>
      </x:c>
      <x:c r="G14" s="41" t="n">
        <x:f>G10-G12-G13</x:f>
        <x:v>1031.8384999999998</x:v>
      </x:c>
      <x:c r="H14" s="2"/>
      <x:c r="I14" s="2"/>
      <x:c r="J14" s="2"/>
    </x:row>
    <x:row r="15" ht="22" customHeight="1">
      <x:c r="A15" s="2"/>
      <x:c r="B15" s="30" t="str">
        <x:v>Operating EBITDA margin</x:v>
      </x:c>
      <x:c r="C15" s="31" t="n">
        <x:f>C14/C7</x:f>
        <x:v>0.27437111433098754</x:v>
      </x:c>
      <x:c r="D15" s="31" t="n">
        <x:f>D14/D7</x:f>
        <x:v>0.22417551403039582</x:v>
      </x:c>
      <x:c r="E15" s="31" t="n">
        <x:f>E14/E7</x:f>
        <x:v>0.22092411008627116</x:v>
      </x:c>
      <x:c r="F15" s="31" t="n">
        <x:f>F14/F7</x:f>
        <x:v>0.25741761958711834</x:v>
      </x:c>
      <x:c r="G15" s="31" t="n">
        <x:f>G14/G7</x:f>
        <x:v>0.2633592399937049</x:v>
      </x:c>
      <x:c r="H15" s="2"/>
      <x:c r="I15" s="2"/>
      <x:c r="J15" s="2"/>
    </x:row>
    <x:row r="16" ht="22" customHeight="1">
      <x:c r="A16" s="2"/>
      <x:c r="B16" s="2" t="str">
        <x:v>ESOP expense added back</x:v>
      </x:c>
      <x:c r="C16" s="28" t="n">
        <x:f>'JB inputs'!C21/'JB inputs'!$C$64</x:f>
        <x:v>0</x:v>
      </x:c>
      <x:c r="D16" s="28" t="n">
        <x:f>'JB inputs'!D21/'JB inputs'!$C$64</x:f>
        <x:v>62.6535</x:v>
      </x:c>
      <x:c r="E16" s="28" t="n">
        <x:f>'JB inputs'!E21/'JB inputs'!$C$64</x:f>
        <x:v>69.3734</x:v>
      </x:c>
      <x:c r="F16" s="28" t="n">
        <x:f>'JB inputs'!F21/'JB inputs'!$C$64</x:f>
        <x:v>41.966499999999996</x:v>
      </x:c>
      <x:c r="G16" s="28" t="n">
        <x:f>'JB inputs'!G21/'JB inputs'!$C$64</x:f>
        <x:v>54.9026</x:v>
      </x:c>
      <x:c r="H16" s="2"/>
      <x:c r="I16" s="2"/>
      <x:c r="J16" s="2"/>
    </x:row>
    <x:row r="17" ht="22" customHeight="1">
      <x:c r="A17" s="2"/>
      <x:c r="B17" s="38" t="str">
        <x:v>EBITDA before ESOP expense</x:v>
      </x:c>
      <x:c r="C17" s="41" t="n">
        <x:f>C14+C16</x:f>
        <x:v>560.4089000000001</x:v>
      </x:c>
      <x:c r="D17" s="41" t="n">
        <x:f>D14+D16</x:f>
        <x:v>606.1096000000001</x:v>
      </x:c>
      <x:c r="E17" s="41" t="n">
        <x:f>E14+E16</x:f>
        <x:v>765.1259000000005</x:v>
      </x:c>
      <x:c r="F17" s="41" t="n">
        <x:f>F14+F16</x:f>
        <x:v>938.8568000000005</x:v>
      </x:c>
      <x:c r="G17" s="41" t="n">
        <x:f>G14+G16</x:f>
        <x:v>1086.7410999999997</x:v>
      </x:c>
      <x:c r="H17" s="2"/>
      <x:c r="I17" s="2"/>
      <x:c r="J17" s="2"/>
    </x:row>
    <x:row r="18" ht="22" customHeight="1">
      <x:c r="A18" s="2"/>
      <x:c r="B18" s="30" t="str">
        <x:v>EBITDA margin before ESOP</x:v>
      </x:c>
      <x:c r="C18" s="31" t="n">
        <x:f>C17/C7</x:f>
        <x:v>0.27437111433098754</x:v>
      </x:c>
      <x:c r="D18" s="31" t="n">
        <x:f>D17/D7</x:f>
        <x:v>0.2500200681136114</x:v>
      </x:c>
      <x:c r="E18" s="31" t="n">
        <x:f>E17/E7</x:f>
        <x:v>0.24295242713674375</x:v>
      </x:c>
      <x:c r="F18" s="31" t="n">
        <x:f>F17/F7</x:f>
        <x:v>0.26946247784057786</x:v>
      </x:c>
      <x:c r="G18" s="31" t="n">
        <x:f>G17/G7</x:f>
        <x:v>0.2773721955188945</x:v>
      </x:c>
      <x:c r="H18" s="2"/>
      <x:c r="I18" s="2"/>
      <x:c r="J18" s="2"/>
    </x:row>
    <x:row r="19" ht="22" customHeight="1">
      <x:c r="A19" s="2"/>
      <x:c r="B19" s="2" t="str">
        <x:v>Depreciation, amortisation &amp; impairment</x:v>
      </x:c>
      <x:c r="C19" s="28" t="n">
        <x:f>'JB inputs'!C13/'JB inputs'!$C$64</x:f>
        <x:v>68.66550000000001</x:v>
      </x:c>
      <x:c r="D19" s="28" t="n">
        <x:f>'JB inputs'!D13/'JB inputs'!$C$64</x:f>
        <x:v>72.6599</x:v>
      </x:c>
      <x:c r="E19" s="28" t="n">
        <x:f>'JB inputs'!E13/'JB inputs'!$C$64</x:f>
        <x:v>114.40690000000001</x:v>
      </x:c>
      <x:c r="F19" s="28" t="n">
        <x:f>'JB inputs'!F13/'JB inputs'!$C$64</x:f>
        <x:v>138.3204</x:v>
      </x:c>
      <x:c r="G19" s="28" t="n">
        <x:f>'JB inputs'!G13/'JB inputs'!$C$64</x:f>
        <x:v>171.03689999999997</x:v>
      </x:c>
      <x:c r="H19" s="2"/>
      <x:c r="I19" s="2"/>
      <x:c r="J19" s="2"/>
    </x:row>
    <x:row r="20" ht="22" customHeight="1">
      <x:c r="A20" s="2"/>
      <x:c r="B20" s="38" t="str">
        <x:v>Operating EBIT</x:v>
      </x:c>
      <x:c r="C20" s="41" t="n">
        <x:f>C14-C19</x:f>
        <x:v>491.7434000000001</x:v>
      </x:c>
      <x:c r="D20" s="41" t="n">
        <x:f>D14-D19</x:f>
        <x:v>470.7962000000001</x:v>
      </x:c>
      <x:c r="E20" s="41" t="n">
        <x:f>E14-E19</x:f>
        <x:v>581.3456000000003</x:v>
      </x:c>
      <x:c r="F20" s="41" t="n">
        <x:f>F14-F19</x:f>
        <x:v>758.5699000000004</x:v>
      </x:c>
      <x:c r="G20" s="41" t="n">
        <x:f>G14-G19</x:f>
        <x:v>860.8015999999999</x:v>
      </x:c>
      <x:c r="H20" s="2"/>
      <x:c r="I20" s="2"/>
      <x:c r="J20" s="2"/>
    </x:row>
    <x:row r="21" ht="22" customHeight="1">
      <x:c r="A21" s="2"/>
      <x:c r="B21" s="2" t="str">
        <x:v>Other income</x:v>
      </x:c>
      <x:c r="C21" s="28" t="n">
        <x:f>'JB inputs'!C15/'JB inputs'!$C$64</x:f>
        <x:v>112.3832</x:v>
      </x:c>
      <x:c r="D21" s="28" t="n">
        <x:f>'JB inputs'!D15/'JB inputs'!$C$64</x:f>
        <x:v>39.2263</x:v>
      </x:c>
      <x:c r="E21" s="28" t="n">
        <x:f>'JB inputs'!E15/'JB inputs'!$C$64</x:f>
        <x:v>9.9401</x:v>
      </x:c>
      <x:c r="F21" s="28" t="n">
        <x:f>'JB inputs'!F15/'JB inputs'!$C$64</x:f>
        <x:v>37.266</x:v>
      </x:c>
      <x:c r="G21" s="28" t="n">
        <x:f>'JB inputs'!G15/'JB inputs'!$C$64</x:f>
        <x:v>38.319</x:v>
      </x:c>
      <x:c r="H21" s="2"/>
      <x:c r="I21" s="2"/>
      <x:c r="J21" s="2"/>
    </x:row>
    <x:row r="22" ht="22" customHeight="1">
      <x:c r="A22" s="2"/>
      <x:c r="B22" s="2" t="str">
        <x:v>Finance costs</x:v>
      </x:c>
      <x:c r="C22" s="28" t="n">
        <x:f>'JB inputs'!C14/'JB inputs'!$C$64</x:f>
        <x:v>7.2412</x:v>
      </x:c>
      <x:c r="D22" s="28" t="n">
        <x:f>'JB inputs'!D14/'JB inputs'!$C$64</x:f>
        <x:v>5.1205</x:v>
      </x:c>
      <x:c r="E22" s="28" t="n">
        <x:f>'JB inputs'!E14/'JB inputs'!$C$64</x:f>
        <x:v>36.0531</x:v>
      </x:c>
      <x:c r="F22" s="28" t="n">
        <x:f>'JB inputs'!F14/'JB inputs'!$C$64</x:f>
        <x:v>44.3267</x:v>
      </x:c>
      <x:c r="G22" s="28" t="n">
        <x:f>'JB inputs'!G14/'JB inputs'!$C$64</x:f>
        <x:v>11.729000000000001</x:v>
      </x:c>
      <x:c r="H22" s="2"/>
      <x:c r="I22" s="2"/>
      <x:c r="J22" s="2"/>
    </x:row>
    <x:row r="23" ht="22" customHeight="1">
      <x:c r="A23" s="2"/>
      <x:c r="B23" s="2" t="str">
        <x:v>Exceptional expense / (gain)</x:v>
      </x:c>
      <x:c r="C23" s="28" t="n">
        <x:f>'JB inputs'!C16/'JB inputs'!$C$64</x:f>
        <x:v>0</x:v>
      </x:c>
      <x:c r="D23" s="28" t="n">
        <x:f>'JB inputs'!D16/'JB inputs'!$C$64</x:f>
        <x:v>0</x:v>
      </x:c>
      <x:c r="E23" s="28" t="n">
        <x:f>'JB inputs'!E16/'JB inputs'!$C$64</x:f>
        <x:v>0</x:v>
      </x:c>
      <x:c r="F23" s="28" t="n">
        <x:f>'JB inputs'!F16/'JB inputs'!$C$64</x:f>
        <x:v>0</x:v>
      </x:c>
      <x:c r="G23" s="28" t="n">
        <x:f>'JB inputs'!G16/'JB inputs'!$C$64</x:f>
        <x:v>0</x:v>
      </x:c>
      <x:c r="H23" s="2"/>
      <x:c r="I23" s="2"/>
      <x:c r="J23" s="2"/>
    </x:row>
    <x:row r="24" ht="22" customHeight="1">
      <x:c r="A24" s="2"/>
      <x:c r="B24" s="38" t="str">
        <x:v>Profit before tax</x:v>
      </x:c>
      <x:c r="C24" s="41" t="n">
        <x:f>C20+C21-C22-C23</x:f>
        <x:v>596.8854000000001</x:v>
      </x:c>
      <x:c r="D24" s="41" t="n">
        <x:f>D20+D21-D22-D23</x:f>
        <x:v>504.9020000000001</x:v>
      </x:c>
      <x:c r="E24" s="41" t="n">
        <x:f>E20+E21-E22-E23</x:f>
        <x:v>555.2326000000004</x:v>
      </x:c>
      <x:c r="F24" s="41" t="n">
        <x:f>F20+F21-F22-F23</x:f>
        <x:v>751.5092000000004</x:v>
      </x:c>
      <x:c r="G24" s="41" t="n">
        <x:f>G20+G21-G22-G23</x:f>
        <x:v>887.3915999999998</x:v>
      </x:c>
      <x:c r="H24" s="2"/>
      <x:c r="I24" s="2"/>
      <x:c r="J24" s="2"/>
    </x:row>
    <x:row r="25" ht="22" customHeight="1">
      <x:c r="A25" s="2"/>
      <x:c r="B25" s="2" t="str">
        <x:v>Tax expense</x:v>
      </x:c>
      <x:c r="C25" s="28" t="n">
        <x:f>'JB inputs'!C17/'JB inputs'!$C$64</x:f>
        <x:v>148.3624</x:v>
      </x:c>
      <x:c r="D25" s="28" t="n">
        <x:f>'JB inputs'!D17/'JB inputs'!$C$64</x:f>
        <x:v>118.86309999999999</x:v>
      </x:c>
      <x:c r="E25" s="28" t="n">
        <x:f>'JB inputs'!E17/'JB inputs'!$C$64</x:f>
        <x:v>145.22729999999999</x:v>
      </x:c>
      <x:c r="F25" s="28" t="n">
        <x:f>'JB inputs'!F17/'JB inputs'!$C$64</x:f>
        <x:v>198.88139999999999</x:v>
      </x:c>
      <x:c r="G25" s="28" t="n">
        <x:f>'JB inputs'!G17/'JB inputs'!$C$64</x:f>
        <x:v>227.8098</x:v>
      </x:c>
      <x:c r="H25" s="2"/>
      <x:c r="I25" s="2"/>
      <x:c r="J25" s="2"/>
    </x:row>
    <x:row r="26" ht="22" customHeight="1">
      <x:c r="A26" s="2"/>
      <x:c r="B26" s="30" t="str">
        <x:v>Effective tax rate</x:v>
      </x:c>
      <x:c r="C26" s="31" t="n">
        <x:f>C25/C24</x:f>
        <x:v>0.2485609465401566</x:v>
      </x:c>
      <x:c r="D26" s="31" t="n">
        <x:f>D25/D24</x:f>
        <x:v>0.23541816035587096</x:v>
      </x:c>
      <x:c r="E26" s="31" t="n">
        <x:f>E25/E24</x:f>
        <x:v>0.2615611907514074</x:v>
      </x:c>
      <x:c r="F26" s="31" t="n">
        <x:f>F25/F24</x:f>
        <x:v>0.26464266837984135</x:v>
      </x:c>
      <x:c r="G26" s="31" t="n">
        <x:f>G25/G24</x:f>
        <x:v>0.256718454400515</x:v>
      </x:c>
      <x:c r="H26" s="2"/>
      <x:c r="I26" s="2"/>
      <x:c r="J26" s="2"/>
    </x:row>
    <x:row r="27" ht="22" customHeight="1">
      <x:c r="A27" s="2"/>
      <x:c r="B27" s="38" t="str">
        <x:v>Total profit after tax</x:v>
      </x:c>
      <x:c r="C27" s="41" t="n">
        <x:f>C24-C25</x:f>
        <x:v>448.52300000000014</x:v>
      </x:c>
      <x:c r="D27" s="41" t="n">
        <x:f>D24-D25</x:f>
        <x:v>386.0389000000001</x:v>
      </x:c>
      <x:c r="E27" s="41" t="n">
        <x:f>E24-E25</x:f>
        <x:v>410.0053000000004</x:v>
      </x:c>
      <x:c r="F27" s="41" t="n">
        <x:f>F24-F25</x:f>
        <x:v>552.6278000000004</x:v>
      </x:c>
      <x:c r="G27" s="41" t="n">
        <x:f>G24-G25</x:f>
        <x:v>659.5817999999998</x:v>
      </x:c>
      <x:c r="H27" s="2"/>
      <x:c r="I27" s="2"/>
      <x:c r="J27" s="2"/>
    </x:row>
    <x:row r="28" ht="22" customHeight="1">
      <x:c r="A28" s="2"/>
      <x:c r="B28" s="38" t="str">
        <x:v>PAT attributable to owners</x:v>
      </x:c>
      <x:c r="C28" s="39" t="n">
        <x:f>'JB inputs'!C20/'JB inputs'!$C$64</x:f>
        <x:v>447.9636</x:v>
      </x:c>
      <x:c r="D28" s="39" t="n">
        <x:f>'JB inputs'!D20/'JB inputs'!$C$64</x:f>
        <x:v>385.3574</x:v>
      </x:c>
      <x:c r="E28" s="39" t="n">
        <x:f>'JB inputs'!E20/'JB inputs'!$C$64</x:f>
        <x:v>409.8355</x:v>
      </x:c>
      <x:c r="F28" s="39" t="n">
        <x:f>'JB inputs'!F20/'JB inputs'!$C$64</x:f>
        <x:v>552.6278</x:v>
      </x:c>
      <x:c r="G28" s="39" t="n">
        <x:f>'JB inputs'!G20/'JB inputs'!$C$64</x:f>
        <x:v>659.5817999999999</x:v>
      </x:c>
      <x:c r="H28" s="2"/>
      <x:c r="I28" s="2"/>
      <x:c r="J28" s="2"/>
    </x:row>
    <x:row r="29" ht="22" customHeight="1">
      <x:c r="A29" s="2"/>
      <x:c r="B29" s="30" t="str">
        <x:v>PAT margin (owners)</x:v>
      </x:c>
      <x:c r="C29" s="31" t="n">
        <x:f>C28/C7</x:f>
        <x:v>0.2193189153700463</x:v>
      </x:c>
      <x:c r="D29" s="31" t="n">
        <x:f>D28/D7</x:f>
        <x:v>0.1589598372902923</x:v>
      </x:c>
      <x:c r="E29" s="31" t="n">
        <x:f>E28/E7</x:f>
        <x:v>0.13013613766283547</x:v>
      </x:c>
      <x:c r="F29" s="31" t="n">
        <x:f>F28/F7</x:f>
        <x:v>0.1586104039631893</x:v>
      </x:c>
      <x:c r="G29" s="31" t="n">
        <x:f>G28/G7</x:f>
        <x:v>0.16834704419507499</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'JB inputs'!C24/'JB inputs'!$C$64</x:f>
        <x:v>347.4468</x:v>
      </x:c>
      <x:c r="D32" s="28" t="n">
        <x:f>'JB inputs'!D24/'JB inputs'!$C$64</x:f>
        <x:v>409.9611</x:v>
      </x:c>
      <x:c r="E32" s="28" t="n">
        <x:f>'JB inputs'!E24/'JB inputs'!$C$64</x:f>
        <x:v>430.4843</x:v>
      </x:c>
      <x:c r="F32" s="28" t="n">
        <x:f>'JB inputs'!F24/'JB inputs'!$C$64</x:f>
        <x:v>502.51279999999997</x:v>
      </x:c>
      <x:c r="G32" s="28" t="n">
        <x:f>'JB inputs'!G24/'JB inputs'!$C$64</x:f>
        <x:v>528.9553</x:v>
      </x:c>
      <x:c r="H32" s="2"/>
      <x:c r="I32" s="2"/>
      <x:c r="J32" s="2"/>
    </x:row>
    <x:row r="33" ht="22" customHeight="1">
      <x:c r="A33" s="2"/>
      <x:c r="B33" s="2" t="str">
        <x:v>Trade receivables</x:v>
      </x:c>
      <x:c r="C33" s="28" t="n">
        <x:f>'JB inputs'!C25/'JB inputs'!$C$64</x:f>
        <x:v>389.01910000000004</x:v>
      </x:c>
      <x:c r="D33" s="28" t="n">
        <x:f>'JB inputs'!D25/'JB inputs'!$C$64</x:f>
        <x:v>555.6868</x:v>
      </x:c>
      <x:c r="E33" s="28" t="n">
        <x:f>'JB inputs'!E25/'JB inputs'!$C$64</x:f>
        <x:v>575.8001</x:v>
      </x:c>
      <x:c r="F33" s="28" t="n">
        <x:f>'JB inputs'!F25/'JB inputs'!$C$64</x:f>
        <x:v>686.9188</x:v>
      </x:c>
      <x:c r="G33" s="28" t="n">
        <x:f>'JB inputs'!G25/'JB inputs'!$C$64</x:f>
        <x:v>815.3788000000001</x:v>
      </x:c>
      <x:c r="H33" s="2"/>
      <x:c r="I33" s="2"/>
      <x:c r="J33" s="2"/>
    </x:row>
    <x:row r="34" ht="22" customHeight="1">
      <x:c r="A34" s="2"/>
      <x:c r="B34" s="2" t="str">
        <x:v>Trade payables</x:v>
      </x:c>
      <x:c r="C34" s="28" t="n">
        <x:f>'JB inputs'!C26/'JB inputs'!$C$64</x:f>
        <x:v>186.92340000000002</x:v>
      </x:c>
      <x:c r="D34" s="28" t="n">
        <x:f>'JB inputs'!D26/'JB inputs'!$C$64</x:f>
        <x:v>224.4797</x:v>
      </x:c>
      <x:c r="E34" s="28" t="n">
        <x:f>'JB inputs'!E26/'JB inputs'!$C$64</x:f>
        <x:v>238.64759999999998</x:v>
      </x:c>
      <x:c r="F34" s="28" t="n">
        <x:f>'JB inputs'!F26/'JB inputs'!$C$64</x:f>
        <x:v>356.3103</x:v>
      </x:c>
      <x:c r="G34" s="28" t="n">
        <x:f>'JB inputs'!G26/'JB inputs'!$C$64</x:f>
        <x:v>410.7171</x:v>
      </x:c>
      <x:c r="H34" s="2"/>
      <x:c r="I34" s="2"/>
      <x:c r="J34" s="2"/>
    </x:row>
    <x:row r="35" ht="22" customHeight="1">
      <x:c r="A35" s="2"/>
      <x:c r="B35" s="38" t="str">
        <x:v>Trade working capital</x:v>
      </x:c>
      <x:c r="C35" s="41" t="n">
        <x:f>C32+C33-C34</x:f>
        <x:v>549.5425</x:v>
      </x:c>
      <x:c r="D35" s="41" t="n">
        <x:f>D32+D33-D34</x:f>
        <x:v>741.1682</x:v>
      </x:c>
      <x:c r="E35" s="41" t="n">
        <x:f>E32+E33-E34</x:f>
        <x:v>767.6368</x:v>
      </x:c>
      <x:c r="F35" s="41" t="n">
        <x:f>F32+F33-F34</x:f>
        <x:v>833.1212999999999</x:v>
      </x:c>
      <x:c r="G35" s="41" t="n">
        <x:f>G32+G33-G34</x:f>
        <x:v>933.617</x:v>
      </x:c>
      <x:c r="H35" s="2"/>
      <x:c r="I35" s="2"/>
      <x:c r="J35" s="2"/>
    </x:row>
    <x:row r="36" ht="22" customHeight="1">
      <x:c r="A36" s="2"/>
      <x:c r="B36" s="30" t="str">
        <x:v>Trade working capital / revenue</x:v>
      </x:c>
      <x:c r="C36" s="31" t="n">
        <x:f>C35/C7</x:f>
        <x:v>0.26905102345311915</x:v>
      </x:c>
      <x:c r="D36" s="31" t="n">
        <x:f>D35/D7</x:f>
        <x:v>0.3057317089972551</x:v>
      </x:c>
      <x:c r="E36" s="31" t="n">
        <x:f>E35/E7</x:f>
        <x:v>0.24374971977746804</x:v>
      </x:c>
      <x:c r="F36" s="31" t="n">
        <x:f>F35/F7</x:f>
        <x:v>0.2391151982280613</x:v>
      </x:c>
      <x:c r="G36" s="31" t="n">
        <x:f>G35/G7</x:f>
        <x:v>0.2382898714917139</x:v>
      </x:c>
      <x:c r="H36" s="2"/>
      <x:c r="I36" s="2"/>
      <x:c r="J36" s="2"/>
    </x:row>
    <x:row r="37" ht="22" customHeight="1">
      <x:c r="A37" s="2"/>
      <x:c r="B37" s="2" t="str">
        <x:v>Receivable days</x:v>
      </x:c>
      <x:c r="C37" s="28" t="n">
        <x:f>C33/C7*'JB inputs'!$C$65</x:f>
        <x:v>69.51798132847074</x:v>
      </x:c>
      <x:c r="D37" s="28" t="n">
        <x:f>D33/D7*'JB inputs'!$C$65</x:f>
        <x:v>83.66554634480244</x:v>
      </x:c>
      <x:c r="E37" s="28" t="n">
        <x:f>E33/E7*'JB inputs'!$C$65</x:f>
        <x:v>66.7348884958823</x:v>
      </x:c>
      <x:c r="F37" s="28" t="n">
        <x:f>F33/F7*'JB inputs'!$C$65</x:f>
        <x:v>71.96100332020372</x:v>
      </x:c>
      <x:c r="G37" s="28" t="n">
        <x:f>G33/G7*'JB inputs'!$C$65</x:f>
        <x:v>75.96072688930235</x:v>
      </x:c>
      <x:c r="H37" s="2"/>
      <x:c r="I37" s="2"/>
      <x:c r="J37" s="2"/>
    </x:row>
    <x:row r="38" ht="22" customHeight="1">
      <x:c r="A38" s="2"/>
      <x:c r="B38" s="2" t="str">
        <x:v>Inventory days</x:v>
      </x:c>
      <x:c r="C38" s="28" t="n">
        <x:f>C32/C9*'JB inputs'!$C$65</x:f>
        <x:v>180.78155777841454</x:v>
      </x:c>
      <x:c r="D38" s="28" t="n">
        <x:f>D32/D9*'JB inputs'!$C$65</x:f>
        <x:v>177.51779350248137</x:v>
      </x:c>
      <x:c r="E38" s="28" t="n">
        <x:f>E32/E9*'JB inputs'!$C$65</x:f>
        <x:v>134.50311662789053</x:v>
      </x:c>
      <x:c r="F38" s="28" t="n">
        <x:f>F32/F9*'JB inputs'!$C$65</x:f>
        <x:v>155.1678815975178</x:v>
      </x:c>
      <x:c r="G38" s="28" t="n">
        <x:f>G32/G9*'JB inputs'!$C$65</x:f>
        <x:v>146.64747141714437</x:v>
      </x:c>
      <x:c r="H38" s="2"/>
      <x:c r="I38" s="2"/>
      <x:c r="J38" s="2"/>
    </x:row>
    <x:row r="39" ht="22" customHeight="1">
      <x:c r="A39" s="2"/>
      <x:c r="B39" s="2" t="str">
        <x:v>Payable days</x:v>
      </x:c>
      <x:c r="C39" s="28" t="n">
        <x:f>C34/C9*'JB inputs'!$C$65</x:f>
        <x:v>97.2589283805109</x:v>
      </x:c>
      <x:c r="D39" s="28" t="n">
        <x:f>D34/D9*'JB inputs'!$C$65</x:f>
        <x:v>97.20224926242751</x:v>
      </x:c>
      <x:c r="E39" s="28" t="n">
        <x:f>E34/E9*'JB inputs'!$C$65</x:f>
        <x:v>74.5644985793121</x:v>
      </x:c>
      <x:c r="F39" s="28" t="n">
        <x:f>F34/F9*'JB inputs'!$C$65</x:f>
        <x:v>110.02289780952059</x:v>
      </x:c>
      <x:c r="G39" s="28" t="n">
        <x:f>G34/G9*'JB inputs'!$C$65</x:f>
        <x:v>113.86713429808233</x:v>
      </x:c>
      <x:c r="H39" s="2"/>
      <x:c r="I39" s="2"/>
      <x:c r="J39" s="2"/>
    </x:row>
    <x:row r="40" ht="22" customHeight="1">
      <x:c r="A40" s="2"/>
      <x:c r="B40" s="2" t="str">
        <x:v>Cash conversion cycle (days)</x:v>
      </x:c>
      <x:c r="C40" s="3" t="n">
        <x:f>C37+C38-C39</x:f>
        <x:v>153.04061072637438</x:v>
      </x:c>
      <x:c r="D40" s="3" t="n">
        <x:f>D37+D38-D39</x:f>
        <x:v>163.9810905848563</x:v>
      </x:c>
      <x:c r="E40" s="3" t="n">
        <x:f>E37+E38-E39</x:f>
        <x:v>126.67350654446074</x:v>
      </x:c>
      <x:c r="F40" s="3" t="n">
        <x:f>F37+F38-F39</x:f>
        <x:v>117.10598710820092</x:v>
      </x:c>
      <x:c r="G40" s="3" t="n">
        <x:f>G37+G38-G39</x:f>
        <x:v>108.74106400836439</x:v>
      </x:c>
      <x:c r="H40" s="2"/>
      <x:c r="I40" s="2"/>
      <x:c r="J40" s="2"/>
    </x:row>
    <x:row r="41" ht="22" customHeight="1">
      <x:c r="A41" s="2"/>
      <x:c r="B41" s="2" t="str">
        <x:v>Cash and cash equivalents</x:v>
      </x:c>
      <x:c r="C41" s="28" t="n">
        <x:f>'JB inputs'!C27/'JB inputs'!$C$64</x:f>
        <x:v>28.6855</x:v>
      </x:c>
      <x:c r="D41" s="28" t="n">
        <x:f>'JB inputs'!D27/'JB inputs'!$C$64</x:f>
        <x:v>56.5441</x:v>
      </x:c>
      <x:c r="E41" s="28" t="n">
        <x:f>'JB inputs'!E27/'JB inputs'!$C$64</x:f>
        <x:v>76.9344</x:v>
      </x:c>
      <x:c r="F41" s="28" t="n">
        <x:f>'JB inputs'!F27/'JB inputs'!$C$64</x:f>
        <x:v>88.2151</x:v>
      </x:c>
      <x:c r="G41" s="28" t="n">
        <x:f>'JB inputs'!G27/'JB inputs'!$C$64</x:f>
        <x:v>115.09100000000001</x:v>
      </x:c>
      <x:c r="H41" s="2"/>
      <x:c r="I41" s="2"/>
      <x:c r="J41" s="2"/>
    </x:row>
    <x:row r="42" ht="22" customHeight="1">
      <x:c r="A42" s="2"/>
      <x:c r="B42" s="2" t="str">
        <x:v>Current financial investments</x:v>
      </x:c>
      <x:c r="C42" s="28" t="n">
        <x:f>'JB inputs'!C28/'JB inputs'!$C$64</x:f>
        <x:v>664.9748</x:v>
      </x:c>
      <x:c r="D42" s="28" t="n">
        <x:f>'JB inputs'!D28/'JB inputs'!$C$64</x:f>
        <x:v>0</x:v>
      </x:c>
      <x:c r="E42" s="28" t="n">
        <x:f>'JB inputs'!E28/'JB inputs'!$C$64</x:f>
        <x:v>192.1845</x:v>
      </x:c>
      <x:c r="F42" s="28" t="n">
        <x:f>'JB inputs'!F28/'JB inputs'!$C$64</x:f>
        <x:v>364.6501</x:v>
      </x:c>
      <x:c r="G42" s="28" t="n">
        <x:f>'JB inputs'!G28/'JB inputs'!$C$64</x:f>
        <x:v>317.1085</x:v>
      </x:c>
      <x:c r="H42" s="2"/>
      <x:c r="I42" s="2"/>
      <x:c r="J42" s="2"/>
    </x:row>
    <x:row r="43" ht="22" customHeight="1">
      <x:c r="A43" s="2"/>
      <x:c r="B43" s="38" t="str">
        <x:v>Gross borrowings, excluding leases</x:v>
      </x:c>
      <x:c r="C43" s="39" t="n">
        <x:f>('JB inputs'!C33+'JB inputs'!C34+'JB inputs'!C35)/'JB inputs'!$C$64</x:f>
        <x:v>32.6446</x:v>
      </x:c>
      <x:c r="D43" s="39" t="n">
        <x:f>('JB inputs'!D33+'JB inputs'!D34+'JB inputs'!D35)/'JB inputs'!$C$64</x:f>
        <x:v>26.315</x:v>
      </x:c>
      <x:c r="E43" s="39" t="n">
        <x:f>('JB inputs'!E33+'JB inputs'!E34+'JB inputs'!E35)/'JB inputs'!$C$64</x:f>
        <x:v>548.2383</x:v>
      </x:c>
      <x:c r="F43" s="39" t="n">
        <x:f>('JB inputs'!F33+'JB inputs'!F34+'JB inputs'!F35)/'JB inputs'!$C$64</x:f>
        <x:v>357.1410000000001</x:v>
      </x:c>
      <x:c r="G43" s="39" t="n">
        <x:f>('JB inputs'!G33+'JB inputs'!G34+'JB inputs'!G35)/'JB inputs'!$C$64</x:f>
        <x:v>13.8038</x:v>
      </x:c>
      <x:c r="H43" s="2"/>
      <x:c r="I43" s="2"/>
      <x:c r="J43" s="2"/>
    </x:row>
    <x:row r="44" ht="22" customHeight="1">
      <x:c r="A44" s="2"/>
      <x:c r="B44" s="2" t="str">
        <x:v>Lease liabilities</x:v>
      </x:c>
      <x:c r="C44" s="28" t="n">
        <x:f>('JB inputs'!C36+'JB inputs'!C37)/'JB inputs'!$C$64</x:f>
        <x:v>12.3433</x:v>
      </x:c>
      <x:c r="D44" s="28" t="n">
        <x:f>('JB inputs'!D36+'JB inputs'!D37)/'JB inputs'!$C$64</x:f>
        <x:v>28.2438</x:v>
      </x:c>
      <x:c r="E44" s="28" t="n">
        <x:f>('JB inputs'!E36+'JB inputs'!E37)/'JB inputs'!$C$64</x:f>
        <x:v>24.2079</x:v>
      </x:c>
      <x:c r="F44" s="28" t="n">
        <x:f>('JB inputs'!F36+'JB inputs'!F37)/'JB inputs'!$C$64</x:f>
        <x:v>20.5149</x:v>
      </x:c>
      <x:c r="G44" s="28" t="n">
        <x:f>('JB inputs'!G36+'JB inputs'!G37)/'JB inputs'!$C$64</x:f>
        <x:v>14.085999999999999</x:v>
      </x:c>
      <x:c r="H44" s="2"/>
      <x:c r="I44" s="2"/>
      <x:c r="J44" s="2"/>
    </x:row>
    <x:row r="45" ht="22" customHeight="1">
      <x:c r="A45" s="2"/>
      <x:c r="B45" s="38" t="str">
        <x:v>Net debt / (net cash), excluding leases</x:v>
      </x:c>
      <x:c r="C45" s="41" t="n">
        <x:f>C43-C41-C42</x:f>
        <x:v>-661.0156999999999</x:v>
      </x:c>
      <x:c r="D45" s="41" t="n">
        <x:f>D43-D41-D42</x:f>
        <x:v>-30.2291</x:v>
      </x:c>
      <x:c r="E45" s="41" t="n">
        <x:f>E43-E41-E42</x:f>
        <x:v>279.1194</x:v>
      </x:c>
      <x:c r="F45" s="41" t="n">
        <x:f>F43-F41-F42</x:f>
        <x:v>-95.72419999999994</x:v>
      </x:c>
      <x:c r="G45" s="41" t="n">
        <x:f>G43-G41-G42</x:f>
        <x:v>-418.39570000000003</x:v>
      </x:c>
      <x:c r="H45" s="2"/>
      <x:c r="I45" s="2"/>
      <x:c r="J45" s="2"/>
    </x:row>
    <x:row r="46" ht="22" customHeight="1">
      <x:c r="A46" s="2"/>
      <x:c r="B46" s="30" t="str">
        <x:v>Net debt / operating EBITDA (x)</x:v>
      </x:c>
      <x:c r="C46" s="33" t="n">
        <x:f>C45/C14</x:f>
        <x:v>-1.1795239154838544</x:v>
      </x:c>
      <x:c r="D46" s="33" t="n">
        <x:f>D45/D14</x:f>
        <x:v>-0.05562381211656285</x:v>
      </x:c>
      <x:c r="E46" s="33" t="n">
        <x:f>E45/E14</x:f>
        <x:v>0.4011762803583168</x:v>
      </x:c>
      <x:c r="F46" s="33" t="n">
        <x:f>F45/F14</x:f>
        <x:v>-0.10672899461617534</x:v>
      </x:c>
      <x:c r="G46" s="33" t="n">
        <x:f>G45/G14</x:f>
        <x:v>-0.4054856452826679</x:v>
      </x:c>
      <x:c r="H46" s="2"/>
      <x:c r="I46" s="2"/>
      <x:c r="J46" s="2"/>
    </x:row>
    <x:row r="47" ht="22" customHeight="1">
      <x:c r="A47" s="2"/>
      <x:c r="B47" s="2" t="str">
        <x:v>Total current assets</x:v>
      </x:c>
      <x:c r="C47" s="28" t="n">
        <x:f>'JB inputs'!C30/'JB inputs'!$C$64</x:f>
        <x:v>1552.6024</x:v>
      </x:c>
      <x:c r="D47" s="28" t="n">
        <x:f>'JB inputs'!D30/'JB inputs'!$C$64</x:f>
        <x:v>1253.1616000000001</x:v>
      </x:c>
      <x:c r="E47" s="28" t="n">
        <x:f>'JB inputs'!E30/'JB inputs'!$C$64</x:f>
        <x:v>1528.033</x:v>
      </x:c>
      <x:c r="F47" s="28" t="n">
        <x:f>'JB inputs'!F30/'JB inputs'!$C$64</x:f>
        <x:v>1853.3453</x:v>
      </x:c>
      <x:c r="G47" s="28" t="n">
        <x:f>'JB inputs'!G30/'JB inputs'!$C$64</x:f>
        <x:v>1922.7419</x:v>
      </x:c>
      <x:c r="H47" s="2"/>
      <x:c r="I47" s="2"/>
      <x:c r="J47" s="2"/>
    </x:row>
    <x:row r="48" ht="22" customHeight="1">
      <x:c r="A48" s="2"/>
      <x:c r="B48" s="38" t="str">
        <x:v>Total assets</x:v>
      </x:c>
      <x:c r="C48" s="39" t="n">
        <x:f>'JB inputs'!C31/'JB inputs'!$C$64</x:f>
        <x:v>2238.1151999999997</x:v>
      </x:c>
      <x:c r="D48" s="39" t="n">
        <x:f>'JB inputs'!D31/'JB inputs'!$C$64</x:f>
        <x:v>2607.4022</x:v>
      </x:c>
      <x:c r="E48" s="39" t="n">
        <x:f>'JB inputs'!E31/'JB inputs'!$C$64</x:f>
        <x:v>3553.8706</x:v>
      </x:c>
      <x:c r="F48" s="39" t="n">
        <x:f>'JB inputs'!F31/'JB inputs'!$C$64</x:f>
        <x:v>3994.1271</x:v>
      </x:c>
      <x:c r="G48" s="39" t="n">
        <x:f>'JB inputs'!G31/'JB inputs'!$C$64</x:f>
        <x:v>4273.7796</x:v>
      </x:c>
      <x:c r="H48" s="2"/>
      <x:c r="I48" s="2"/>
      <x:c r="J48" s="2"/>
    </x:row>
    <x:row r="49" ht="22" customHeight="1">
      <x:c r="A49" s="2"/>
      <x:c r="B49" s="2" t="str">
        <x:v>Total current liabilities</x:v>
      </x:c>
      <x:c r="C49" s="28" t="n">
        <x:f>'JB inputs'!C39/'JB inputs'!$C$64</x:f>
        <x:v>345.2737</x:v>
      </x:c>
      <x:c r="D49" s="28" t="n">
        <x:f>'JB inputs'!D39/'JB inputs'!$C$64</x:f>
        <x:v>383.7156</x:v>
      </x:c>
      <x:c r="E49" s="28" t="n">
        <x:f>'JB inputs'!E39/'JB inputs'!$C$64</x:f>
        <x:v>554.4493</x:v>
      </x:c>
      <x:c r="F49" s="28" t="n">
        <x:f>'JB inputs'!F39/'JB inputs'!$C$64</x:f>
        <x:v>868.2261</x:v>
      </x:c>
      <x:c r="G49" s="28" t="n">
        <x:f>'JB inputs'!G39/'JB inputs'!$C$64</x:f>
        <x:v>632.3391</x:v>
      </x:c>
      <x:c r="H49" s="2"/>
      <x:c r="I49" s="2"/>
      <x:c r="J49" s="2"/>
    </x:row>
    <x:row r="50" ht="22" customHeight="1">
      <x:c r="A50" s="2"/>
      <x:c r="B50" s="2" t="str">
        <x:v>Total non-current liabilities</x:v>
      </x:c>
      <x:c r="C50" s="28" t="n">
        <x:f>'JB inputs'!C38/'JB inputs'!$C$64</x:f>
        <x:v>79.41159999999999</x:v>
      </x:c>
      <x:c r="D50" s="28" t="n">
        <x:f>'JB inputs'!D38/'JB inputs'!$C$64</x:f>
        <x:v>85.0737</x:v>
      </x:c>
      <x:c r="E50" s="28" t="n">
        <x:f>'JB inputs'!E38/'JB inputs'!$C$64</x:f>
        <x:v>519.0691</x:v>
      </x:c>
      <x:c r="F50" s="28" t="n">
        <x:f>'JB inputs'!F38/'JB inputs'!$C$64</x:f>
        <x:v>202.5717</x:v>
      </x:c>
      <x:c r="G50" s="28" t="n">
        <x:f>'JB inputs'!G38/'JB inputs'!$C$64</x:f>
        <x:v>208.1254</x:v>
      </x:c>
      <x:c r="H50" s="2"/>
      <x:c r="I50" s="2"/>
      <x:c r="J50" s="2"/>
    </x:row>
    <x:row r="51" ht="22" customHeight="1">
      <x:c r="A51" s="2"/>
      <x:c r="B51" s="38" t="str">
        <x:v>Total equity, including NCI</x:v>
      </x:c>
      <x:c r="C51" s="39" t="n">
        <x:f>'JB inputs'!C32/'JB inputs'!$C$64</x:f>
        <x:v>1813.4298999999999</x:v>
      </x:c>
      <x:c r="D51" s="39" t="n">
        <x:f>'JB inputs'!D32/'JB inputs'!$C$64</x:f>
        <x:v>2138.6129</x:v>
      </x:c>
      <x:c r="E51" s="39" t="n">
        <x:f>'JB inputs'!E32/'JB inputs'!$C$64</x:f>
        <x:v>2480.3522</x:v>
      </x:c>
      <x:c r="F51" s="39" t="n">
        <x:f>'JB inputs'!F32/'JB inputs'!$C$64</x:f>
        <x:v>2923.3293</x:v>
      </x:c>
      <x:c r="G51" s="39" t="n">
        <x:f>'JB inputs'!G32/'JB inputs'!$C$64</x:f>
        <x:v>3433.3151000000003</x:v>
      </x:c>
      <x:c r="H51" s="2"/>
      <x:c r="I51" s="2"/>
      <x:c r="J51" s="2"/>
    </x:row>
    <x:row r="52" ht="22" customHeight="1">
      <x:c r="A52" s="2"/>
      <x:c r="B52" s="30" t="str">
        <x:v>Current ratio (x)</x:v>
      </x:c>
      <x:c r="C52" s="33" t="n">
        <x:f>C47/C49</x:f>
        <x:v>4.496729406265232</x:v>
      </x:c>
      <x:c r="D52" s="33" t="n">
        <x:f>D47/D49</x:f>
        <x:v>3.265860444558418</x:v>
      </x:c>
      <x:c r="E52" s="33" t="n">
        <x:f>E47/E49</x:f>
        <x:v>2.7559472074362796</x:v>
      </x:c>
      <x:c r="F52" s="33" t="n">
        <x:f>F47/F49</x:f>
        <x:v>2.134634399956417</x:v>
      </x:c>
      <x:c r="G52" s="33" t="n">
        <x:f>G47/G49</x:f>
        <x:v>3.040681653245861</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'JB inputs'!C42/'JB inputs'!$C$64</x:f>
        <x:v>314.7849</x:v>
      </x:c>
      <x:c r="D55" s="39" t="n">
        <x:f>'JB inputs'!D42/'JB inputs'!$C$64</x:f>
        <x:v>170.1345</x:v>
      </x:c>
      <x:c r="E55" s="39" t="n">
        <x:f>'JB inputs'!E42/'JB inputs'!$C$64</x:f>
        <x:v>625.6120999999999</x:v>
      </x:c>
      <x:c r="F55" s="39" t="n">
        <x:f>'JB inputs'!F42/'JB inputs'!$C$64</x:f>
        <x:v>800.6116999999999</x:v>
      </x:c>
      <x:c r="G55" s="39" t="n">
        <x:f>'JB inputs'!G42/'JB inputs'!$C$64</x:f>
        <x:v>902.4498</x:v>
      </x:c>
      <x:c r="H55" s="2"/>
      <x:c r="I55" s="2"/>
      <x:c r="J55" s="2"/>
    </x:row>
    <x:row r="56" ht="22" customHeight="1">
      <x:c r="A56" s="2"/>
      <x:c r="B56" s="30" t="str">
        <x:v>Operating cash flow / operating EBITDA</x:v>
      </x:c>
      <x:c r="C56" s="31" t="n">
        <x:f>C55/C14</x:f>
        <x:v>0.5617057473569744</x:v>
      </x:c>
      <x:c r="D56" s="31" t="n">
        <x:f>D55/D14</x:f>
        <x:v>0.3130602453445641</x:v>
      </x:c>
      <x:c r="E56" s="31" t="n">
        <x:f>E55/E14</x:f>
        <x:v>0.8991877140218678</x:v>
      </x:c>
      <x:c r="F56" s="31" t="n">
        <x:f>F55/F14</x:f>
        <x:v>0.8926528695872834</x:v>
      </x:c>
      <x:c r="G56" s="31" t="n">
        <x:f>G55/G14</x:f>
        <x:v>0.8746037291688574</x:v>
      </x:c>
      <x:c r="H56" s="2"/>
      <x:c r="I56" s="2"/>
      <x:c r="J56" s="2"/>
    </x:row>
    <x:row r="57" ht="22" customHeight="1">
      <x:c r="A57" s="2"/>
      <x:c r="B57" s="2" t="str">
        <x:v>PPE / combined capex cash spend</x:v>
      </x:c>
      <x:c r="C57" s="28" t="n">
        <x:f>'JB inputs'!C43/'JB inputs'!$C$64</x:f>
        <x:v>47.773</x:v>
      </x:c>
      <x:c r="D57" s="28" t="n">
        <x:f>'JB inputs'!D43/'JB inputs'!$C$64</x:f>
        <x:v>62.87</x:v>
      </x:c>
      <x:c r="E57" s="28" t="n">
        <x:f>'JB inputs'!E43/'JB inputs'!$C$64</x:f>
        <x:v>72.5686</x:v>
      </x:c>
      <x:c r="F57" s="28" t="n">
        <x:f>'JB inputs'!F43/'JB inputs'!$C$64</x:f>
        <x:v>126.86280000000001</x:v>
      </x:c>
      <x:c r="G57" s="28" t="n">
        <x:f>'JB inputs'!G43/'JB inputs'!$C$64</x:f>
        <x:v>97.58760000000001</x:v>
      </x:c>
      <x:c r="H57" s="2"/>
      <x:c r="I57" s="2"/>
      <x:c r="J57" s="2"/>
    </x:row>
    <x:row r="58" ht="22" customHeight="1">
      <x:c r="A58" s="2"/>
      <x:c r="B58" s="2" t="str">
        <x:v>Separate intangible cash spend</x:v>
      </x:c>
      <x:c r="C58" s="28" t="n">
        <x:f>'JB inputs'!C44/'JB inputs'!$C$64</x:f>
        <x:v>0</x:v>
      </x:c>
      <x:c r="D58" s="28" t="n">
        <x:f>'JB inputs'!D44/'JB inputs'!$C$64</x:f>
        <x:v>643.9191999999999</x:v>
      </x:c>
      <x:c r="E58" s="28" t="n">
        <x:f>'JB inputs'!E44/'JB inputs'!$C$64</x:f>
        <x:v>692.3783999999999</x:v>
      </x:c>
      <x:c r="F58" s="28" t="n">
        <x:f>'JB inputs'!F44/'JB inputs'!$C$64</x:f>
        <x:v>134.5042</x:v>
      </x:c>
      <x:c r="G58" s="28" t="n">
        <x:f>'JB inputs'!G44/'JB inputs'!$C$64</x:f>
        <x:v>22.7185</x:v>
      </x:c>
      <x:c r="H58" s="2"/>
      <x:c r="I58" s="2"/>
      <x:c r="J58" s="2"/>
    </x:row>
    <x:row r="59" ht="22" customHeight="1">
      <x:c r="A59" s="2"/>
      <x:c r="B59" s="38" t="str">
        <x:v>Total capex cash spend</x:v>
      </x:c>
      <x:c r="C59" s="41" t="n">
        <x:f>C57+C58</x:f>
        <x:v>47.773</x:v>
      </x:c>
      <x:c r="D59" s="41" t="n">
        <x:f>D57+D58</x:f>
        <x:v>706.7891999999999</x:v>
      </x:c>
      <x:c r="E59" s="41" t="n">
        <x:f>E57+E58</x:f>
        <x:v>764.9469999999999</x:v>
      </x:c>
      <x:c r="F59" s="41" t="n">
        <x:f>F57+F58</x:f>
        <x:v>261.367</x:v>
      </x:c>
      <x:c r="G59" s="41" t="n">
        <x:f>G57+G58</x:f>
        <x:v>120.30610000000001</x:v>
      </x:c>
      <x:c r="H59" s="2"/>
      <x:c r="I59" s="2"/>
      <x:c r="J59" s="2"/>
    </x:row>
    <x:row r="60" ht="22" customHeight="1">
      <x:c r="A60" s="2"/>
      <x:c r="B60" s="38" t="str">
        <x:v>Cash flow after capex</x:v>
      </x:c>
      <x:c r="C60" s="41" t="n">
        <x:f>C55-C59</x:f>
        <x:v>267.01189999999997</x:v>
      </x:c>
      <x:c r="D60" s="41" t="n">
        <x:f>D55-D59</x:f>
        <x:v>-536.6546999999999</x:v>
      </x:c>
      <x:c r="E60" s="41" t="n">
        <x:f>E55-E59</x:f>
        <x:v>-139.33489999999995</x:v>
      </x:c>
      <x:c r="F60" s="41" t="n">
        <x:f>F55-F59</x:f>
        <x:v>539.2447</x:v>
      </x:c>
      <x:c r="G60" s="41" t="n">
        <x:f>G55-G59</x:f>
        <x:v>782.1437</x:v>
      </x:c>
      <x:c r="H60" s="2"/>
      <x:c r="I60" s="2"/>
      <x:c r="J60" s="2"/>
    </x:row>
    <x:row r="61" ht="22" customHeight="1">
      <x:c r="A61" s="2"/>
      <x:c r="B61" s="2" t="str">
        <x:v>Business acquisition cash payment</x:v>
      </x:c>
      <x:c r="C61" s="28" t="n">
        <x:f>'JB inputs'!C45/'JB inputs'!$C$64</x:f>
        <x:v>8.5</x:v>
      </x:c>
      <x:c r="D61" s="28" t="n">
        <x:f>'JB inputs'!D45/'JB inputs'!$C$64</x:f>
        <x:v>0</x:v>
      </x:c>
      <x:c r="E61" s="28" t="n">
        <x:f>'JB inputs'!E45/'JB inputs'!$C$64</x:f>
        <x:v>0</x:v>
      </x:c>
      <x:c r="F61" s="28" t="n">
        <x:f>'JB inputs'!F45/'JB inputs'!$C$64</x:f>
        <x:v>0</x:v>
      </x:c>
      <x:c r="G61" s="28" t="n">
        <x:f>'JB inputs'!G45/'JB inputs'!$C$64</x:f>
        <x:v>0</x:v>
      </x:c>
      <x:c r="H61" s="2"/>
      <x:c r="I61" s="2"/>
      <x:c r="J61" s="2"/>
    </x:row>
    <x:row r="62" ht="22" customHeight="1">
      <x:c r="A62" s="2"/>
      <x:c r="B62" s="38" t="str">
        <x:v>Cash flow after capex &amp; business purchases</x:v>
      </x:c>
      <x:c r="C62" s="41" t="n">
        <x:f>C60-C61</x:f>
        <x:v>258.51189999999997</x:v>
      </x:c>
      <x:c r="D62" s="41" t="n">
        <x:f>D60-D61</x:f>
        <x:v>-536.6546999999999</x:v>
      </x:c>
      <x:c r="E62" s="41" t="n">
        <x:f>E60-E61</x:f>
        <x:v>-139.33489999999995</x:v>
      </x:c>
      <x:c r="F62" s="41" t="n">
        <x:f>F60-F61</x:f>
        <x:v>539.2447</x:v>
      </x:c>
      <x:c r="G62" s="41" t="n">
        <x:f>G60-G61</x:f>
        <x:v>782.1437</x:v>
      </x:c>
      <x:c r="H62" s="2"/>
      <x:c r="I62" s="2"/>
      <x:c r="J62" s="2"/>
    </x:row>
    <x:row r="63" ht="22" customHeight="1">
      <x:c r="A63" s="2"/>
      <x:c r="B63" s="2" t="str">
        <x:v>Net investing cash flow</x:v>
      </x:c>
      <x:c r="C63" s="28" t="n">
        <x:f>'JB inputs'!C46/'JB inputs'!$C$64</x:f>
        <x:v>-230.6758</x:v>
      </x:c>
      <x:c r="D63" s="28" t="n">
        <x:f>'JB inputs'!D46/'JB inputs'!$C$64</x:f>
        <x:v>2.3199</x:v>
      </x:c>
      <x:c r="E63" s="28" t="n">
        <x:f>'JB inputs'!E46/'JB inputs'!$C$64</x:f>
        <x:v>-961.7883999999999</x:v>
      </x:c>
      <x:c r="F63" s="28" t="n">
        <x:f>'JB inputs'!F46/'JB inputs'!$C$64</x:f>
        <x:v>-403.8304</x:v>
      </x:c>
      <x:c r="G63" s="28" t="n">
        <x:f>'JB inputs'!G46/'JB inputs'!$C$64</x:f>
        <x:v>-295.8963</x:v>
      </x:c>
      <x:c r="H63" s="2"/>
      <x:c r="I63" s="2"/>
      <x:c r="J63" s="2"/>
    </x:row>
    <x:row r="64" ht="22" customHeight="1">
      <x:c r="A64" s="2"/>
      <x:c r="B64" s="2" t="str">
        <x:v>Net financing cash flow</x:v>
      </x:c>
      <x:c r="C64" s="28" t="n">
        <x:f>'JB inputs'!C47/'JB inputs'!$C$64</x:f>
        <x:v>-87.42280000000001</x:v>
      </x:c>
      <x:c r="D64" s="28" t="n">
        <x:f>'JB inputs'!D47/'JB inputs'!$C$64</x:f>
        <x:v>-138.3851</x:v>
      </x:c>
      <x:c r="E64" s="28" t="n">
        <x:f>'JB inputs'!E47/'JB inputs'!$C$64</x:f>
        <x:v>356.538</x:v>
      </x:c>
      <x:c r="F64" s="28" t="n">
        <x:f>'JB inputs'!F47/'JB inputs'!$C$64</x:f>
        <x:v>-385.485</x:v>
      </x:c>
      <x:c r="G64" s="28" t="n">
        <x:f>'JB inputs'!G47/'JB inputs'!$C$64</x:f>
        <x:v>-579.67</x:v>
      </x:c>
      <x:c r="H64" s="2"/>
      <x:c r="I64" s="2"/>
      <x:c r="J64" s="2"/>
    </x:row>
    <x:row r="65" ht="22" customHeight="1">
      <x:c r="A65" s="2"/>
      <x:c r="B65" s="2" t="str">
        <x:v>Exchange effect on cash</x:v>
      </x:c>
      <x:c r="C65" s="28" t="n">
        <x:f>'JB inputs'!C48/'JB inputs'!$C$64</x:f>
        <x:v>0.0355</x:v>
      </x:c>
      <x:c r="D65" s="28" t="n">
        <x:f>'JB inputs'!D48/'JB inputs'!$C$64</x:f>
        <x:v>0.001</x:v>
      </x:c>
      <x:c r="E65" s="28" t="n">
        <x:f>'JB inputs'!E48/'JB inputs'!$C$64</x:f>
        <x:v>0.0286</x:v>
      </x:c>
      <x:c r="F65" s="28" t="n">
        <x:f>'JB inputs'!F48/'JB inputs'!$C$64</x:f>
        <x:v>-0.015600000000000001</x:v>
      </x:c>
      <x:c r="G65" s="28" t="n">
        <x:f>'JB inputs'!G48/'JB inputs'!$C$64</x:f>
        <x:v>-0.0076</x:v>
      </x:c>
      <x:c r="H65" s="2"/>
      <x:c r="I65" s="2"/>
      <x:c r="J65" s="2"/>
    </x:row>
    <x:row r="66" ht="22" customHeight="1">
      <x:c r="A66" s="2"/>
      <x:c r="B66" s="2" t="str">
        <x:v>Opening cash: cash-flow statement</x:v>
      </x:c>
      <x:c r="C66" s="28" t="n">
        <x:f>'JB inputs'!C49/'JB inputs'!$C$64</x:f>
        <x:v>25.7519</x:v>
      </x:c>
      <x:c r="D66" s="28" t="n">
        <x:f>'JB inputs'!D49/'JB inputs'!$C$64</x:f>
        <x:v>22.4738</x:v>
      </x:c>
      <x:c r="E66" s="28" t="n">
        <x:f>'JB inputs'!E49/'JB inputs'!$C$64</x:f>
        <x:v>56.5441</x:v>
      </x:c>
      <x:c r="F66" s="28" t="n">
        <x:f>'JB inputs'!F49/'JB inputs'!$C$64</x:f>
        <x:v>76.9344</x:v>
      </x:c>
      <x:c r="G66" s="28" t="n">
        <x:f>'JB inputs'!G49/'JB inputs'!$C$64</x:f>
        <x:v>88.2151</x:v>
      </x:c>
      <x:c r="H66" s="2"/>
      <x:c r="I66" s="2"/>
      <x:c r="J66" s="2"/>
    </x:row>
    <x:row r="67" ht="22" customHeight="1">
      <x:c r="A67" s="2"/>
      <x:c r="B67" s="2" t="str">
        <x:v>Cash acquired with subsidiary</x:v>
      </x:c>
      <x:c r="C67" s="28" t="n">
        <x:f>'JB inputs'!C50/'JB inputs'!$C$64</x:f>
        <x:v>0</x:v>
      </x:c>
      <x:c r="D67" s="28" t="n">
        <x:f>'JB inputs'!D50/'JB inputs'!$C$64</x:f>
        <x:v>0</x:v>
      </x:c>
      <x:c r="E67" s="28" t="n">
        <x:f>'JB inputs'!E50/'JB inputs'!$C$64</x:f>
        <x:v>0</x:v>
      </x:c>
      <x:c r="F67" s="28" t="n">
        <x:f>'JB inputs'!F50/'JB inputs'!$C$64</x:f>
        <x:v>0</x:v>
      </x:c>
      <x:c r="G67" s="28" t="n">
        <x:f>'JB inputs'!G50/'JB inputs'!$C$64</x:f>
        <x:v>0</x:v>
      </x:c>
      <x:c r="H67" s="2"/>
      <x:c r="I67" s="2"/>
      <x:c r="J67" s="2"/>
    </x:row>
    <x:row r="68" ht="22" customHeight="1">
      <x:c r="A68" s="2"/>
      <x:c r="B68" s="38" t="str">
        <x:v>Calculated closing cash: cash-flow statement</x:v>
      </x:c>
      <x:c r="C68" s="41" t="n">
        <x:f>SUM(C63:C67)+C55</x:f>
        <x:v>22.47369999999995</x:v>
      </x:c>
      <x:c r="D68" s="41" t="n">
        <x:f>SUM(D63:D67)+D55</x:f>
        <x:v>56.5441</x:v>
      </x:c>
      <x:c r="E68" s="41" t="n">
        <x:f>SUM(E63:E67)+E55</x:f>
        <x:v>76.93439999999998</x:v>
      </x:c>
      <x:c r="F68" s="41" t="n">
        <x:f>SUM(F63:F67)+F55</x:f>
        <x:v>88.2151</x:v>
      </x:c>
      <x:c r="G68" s="41" t="n">
        <x:f>SUM(G63:G67)+G55</x:f>
        <x:v>115.09100000000001</x:v>
      </x:c>
      <x:c r="H68" s="2"/>
      <x:c r="I68" s="2"/>
      <x:c r="J68" s="2"/>
    </x:row>
    <x:row r="69" ht="22" customHeight="1">
      <x:c r="A69" s="2"/>
      <x:c r="B69" s="2" t="str">
        <x:v>Add: overdraft netted in cash-flow statement</x:v>
      </x:c>
      <x:c r="C69" s="28" t="n">
        <x:f>'JB inputs'!C52/'JB inputs'!$C$64</x:f>
        <x:v>6.211799999999999</x:v>
      </x:c>
      <x:c r="D69" s="28" t="n">
        <x:f>'JB inputs'!D52/'JB inputs'!$C$64</x:f>
        <x:v>0</x:v>
      </x:c>
      <x:c r="E69" s="28" t="n">
        <x:f>'JB inputs'!E52/'JB inputs'!$C$64</x:f>
        <x:v>0</x:v>
      </x:c>
      <x:c r="F69" s="28" t="n">
        <x:f>'JB inputs'!F52/'JB inputs'!$C$64</x:f>
        <x:v>0</x:v>
      </x:c>
      <x:c r="G69" s="28" t="n">
        <x:f>'JB inputs'!G52/'JB inputs'!$C$64</x:f>
        <x:v>0</x:v>
      </x:c>
      <x:c r="H69" s="2"/>
      <x:c r="I69" s="2"/>
      <x:c r="J69" s="2"/>
    </x:row>
    <x:row r="70" ht="22" customHeight="1">
      <x:c r="A70" s="2"/>
      <x:c r="B70" s="38" t="str">
        <x:v>Calculated balance-sheet cash</x:v>
      </x:c>
      <x:c r="C70" s="41" t="n">
        <x:f>C68+C69</x:f>
        <x:v>28.68549999999995</x:v>
      </x:c>
      <x:c r="D70" s="41" t="n">
        <x:f>D68+D69</x:f>
        <x:v>56.5441</x:v>
      </x:c>
      <x:c r="E70" s="41" t="n">
        <x:f>E68+E69</x:f>
        <x:v>76.93439999999998</x:v>
      </x:c>
      <x:c r="F70" s="41" t="n">
        <x:f>F68+F69</x:f>
        <x:v>88.2151</x:v>
      </x:c>
      <x:c r="G70" s="41" t="n">
        <x:f>G68+G69</x:f>
        <x:v>115.09100000000001</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'JB inputs'!C55*'JB inputs'!C58/'JB inputs'!$C$66</x:f>
        <x:v>15.4564194</x:v>
      </x:c>
      <x:c r="D73" s="34" t="n">
        <x:f>'JB inputs'!D55*'JB inputs'!D58/'JB inputs'!$C$66</x:f>
        <x:v>15.4564194</x:v>
      </x:c>
      <x:c r="E73" s="34" t="n">
        <x:f>'JB inputs'!E55*'JB inputs'!E58/'JB inputs'!$C$66</x:f>
        <x:v>15.464999</x:v>
      </x:c>
      <x:c r="F73" s="34" t="n">
        <x:f>'JB inputs'!F55*'JB inputs'!F58/'JB inputs'!$C$66</x:f>
        <x:v>15.4951521</x:v>
      </x:c>
      <x:c r="G73" s="34" t="n">
        <x:f>'JB inputs'!G55*'JB inputs'!G58/'JB inputs'!$C$66</x:f>
        <x:v>15.5364761</x:v>
      </x:c>
      <x:c r="H73" s="2"/>
      <x:c r="I73" s="2"/>
      <x:c r="J73" s="2"/>
    </x:row>
    <x:row r="74" ht="22" customHeight="1">
      <x:c r="A74" s="2"/>
      <x:c r="B74" s="2" t="str">
        <x:v>Weighted-average diluted shares (crore)</x:v>
      </x:c>
      <x:c r="C74" s="34" t="n">
        <x:f>'JB inputs'!C56*'JB inputs'!C58/'JB inputs'!$C$66</x:f>
        <x:v>15.4564194</x:v>
      </x:c>
      <x:c r="D74" s="34" t="n">
        <x:f>'JB inputs'!D56*'JB inputs'!D58/'JB inputs'!$C$66</x:f>
        <x:v>15.4710448</x:v>
      </x:c>
      <x:c r="E74" s="34" t="n">
        <x:f>'JB inputs'!E56*'JB inputs'!E58/'JB inputs'!$C$66</x:f>
        <x:v>15.6617596</x:v>
      </x:c>
      <x:c r="F74" s="34" t="n">
        <x:f>'JB inputs'!F56*'JB inputs'!F58/'JB inputs'!$C$66</x:f>
        <x:v>15.8587465</x:v>
      </x:c>
      <x:c r="G74" s="34" t="n">
        <x:f>'JB inputs'!G56*'JB inputs'!G58/'JB inputs'!$C$66</x:f>
        <x:v>15.8691543</x:v>
      </x:c>
      <x:c r="H74" s="2"/>
      <x:c r="I74" s="2"/>
      <x:c r="J74" s="2"/>
    </x:row>
    <x:row r="75" ht="22" customHeight="1">
      <x:c r="A75" s="2"/>
      <x:c r="B75" s="2" t="str">
        <x:v>Closing issued shares (crore)</x:v>
      </x:c>
      <x:c r="C75" s="34" t="n">
        <x:f>'JB inputs'!C57*'JB inputs'!C59/'JB inputs'!$C$66</x:f>
        <x:v>15.4564194</x:v>
      </x:c>
      <x:c r="D75" s="34" t="n">
        <x:f>'JB inputs'!D57*'JB inputs'!D59/'JB inputs'!$C$66</x:f>
        <x:v>15.4564194</x:v>
      </x:c>
      <x:c r="E75" s="34" t="n">
        <x:f>'JB inputs'!E57*'JB inputs'!E59/'JB inputs'!$C$66</x:f>
        <x:v>15.4755168</x:v>
      </x:c>
      <x:c r="F75" s="34" t="n">
        <x:f>'JB inputs'!F57*'JB inputs'!F59/'JB inputs'!$C$66</x:f>
        <x:v>15.51948</x:v>
      </x:c>
      <x:c r="G75" s="34" t="n">
        <x:f>'JB inputs'!G57*'JB inputs'!G59/'JB inputs'!$C$66</x:f>
        <x:v>15.5677208</x:v>
      </x:c>
      <x:c r="H75" s="2"/>
      <x:c r="I75" s="2"/>
      <x:c r="J75" s="2"/>
    </x:row>
    <x:row r="76" ht="22" customHeight="1">
      <x:c r="A76" s="2"/>
      <x:c r="B76" s="38" t="str">
        <x:v>Basic EPS on FY25 share basis (INR)</x:v>
      </x:c>
      <x:c r="C76" s="43" t="n">
        <x:f>C28/C73</x:f>
        <x:v>28.982365734718613</x:v>
      </x:c>
      <x:c r="D76" s="43" t="n">
        <x:f>D28/D73</x:f>
        <x:v>24.931867467312642</x:v>
      </x:c>
      <x:c r="E76" s="43" t="n">
        <x:f>E28/E73</x:f>
        <x:v>26.500842321425303</x:v>
      </x:c>
      <x:c r="F76" s="43" t="n">
        <x:f>F28/F73</x:f>
        <x:v>35.664561175879</x:v>
      </x:c>
      <x:c r="G76" s="43" t="n">
        <x:f>G28/G73</x:f>
        <x:v>42.45375822384845</x:v>
      </x:c>
      <x:c r="H76" s="2"/>
      <x:c r="I76" s="2"/>
      <x:c r="J76" s="2"/>
    </x:row>
    <x:row r="77" ht="22" customHeight="1">
      <x:c r="A77" s="2"/>
      <x:c r="B77" s="38" t="str">
        <x:v>Diluted EPS on FY25 share basis (INR)</x:v>
      </x:c>
      <x:c r="C77" s="43" t="n">
        <x:f>C28/C74</x:f>
        <x:v>28.982365734718613</x:v>
      </x:c>
      <x:c r="D77" s="43" t="n">
        <x:f>D28/D74</x:f>
        <x:v>24.908298371678168</x:v>
      </x:c>
      <x:c r="E77" s="43" t="n">
        <x:f>E28/E74</x:f>
        <x:v>26.167909000467613</x:v>
      </x:c>
      <x:c r="F77" s="43" t="n">
        <x:f>F28/F74</x:f>
        <x:v>34.84687771508297</x:v>
      </x:c>
      <x:c r="G77" s="43" t="n">
        <x:f>G28/G74</x:f>
        <x:v>41.56376499534068</x:v>
      </x:c>
      <x:c r="H77" s="2"/>
      <x:c r="I77" s="2"/>
      <x:c r="J77" s="2"/>
    </x:row>
    <x:row r="78" ht="22" customHeight="1">
      <x:c r="A78" s="2"/>
      <x:c r="B78" s="30" t="str">
        <x:v>Basic EPS growth</x:v>
      </x:c>
      <x:c r="C78" s="31" t="str">
        <x:v>n/a</x:v>
      </x:c>
      <x:c r="D78" s="31" t="n">
        <x:f>D76/C76-1</x:f>
        <x:v>-0.13975733742652308</x:v>
      </x:c>
      <x:c r="E78" s="31" t="n">
        <x:f>E76/D76-1</x:f>
        <x:v>0.06293049873499013</x:v>
      </x:c>
      <x:c r="F78" s="31" t="n">
        <x:f>F76/E76-1</x:f>
        <x:v>0.3457897203156086</x:v>
      </x:c>
      <x:c r="G78" s="31" t="n">
        <x:f>G76/F76-1</x:f>
        <x:v>0.19036255667043478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C24-('JB inputs'!C18/'JB inputs'!$C$64)</x:f>
        <x:v>1.1368683772161603e-13</x:v>
      </x:c>
      <x:c r="D81" s="34" t="n">
        <x:f>D24-('JB inputs'!D18/'JB inputs'!$C$64)</x:f>
        <x:v>1.1368683772161603e-13</x:v>
      </x:c>
      <x:c r="E81" s="34" t="n">
        <x:f>E24-('JB inputs'!E18/'JB inputs'!$C$64)</x:f>
        <x:v>3.410605131648481e-13</x:v>
      </x:c>
      <x:c r="F81" s="34" t="n">
        <x:f>F24-('JB inputs'!F18/'JB inputs'!$C$64)</x:f>
        <x:v>4.547473508864641e-13</x:v>
      </x:c>
      <x:c r="G81" s="34" t="n">
        <x:f>G24-('JB inputs'!G18/'JB inputs'!$C$64)</x:f>
        <x:v>-2.2737367544323206e-13</x:v>
      </x:c>
      <x:c r="H81" s="2"/>
      <x:c r="I81" s="2"/>
      <x:c r="J81" s="2"/>
    </x:row>
    <x:row r="82" ht="22" customHeight="1">
      <x:c r="A82" s="2"/>
      <x:c r="B82" s="2" t="str">
        <x:v>PAT vs reported: difference</x:v>
      </x:c>
      <x:c r="C82" s="34" t="n">
        <x:f>C27-('JB inputs'!C19/'JB inputs'!$C$64)</x:f>
        <x:v>1.1368683772161603e-13</x:v>
      </x:c>
      <x:c r="D82" s="34" t="n">
        <x:f>D27-('JB inputs'!D19/'JB inputs'!$C$64)</x:f>
        <x:v>1.1368683772161603e-13</x:v>
      </x:c>
      <x:c r="E82" s="34" t="n">
        <x:f>E27-('JB inputs'!E19/'JB inputs'!$C$64)</x:f>
        <x:v>3.979039320256561e-13</x:v>
      </x:c>
      <x:c r="F82" s="34" t="n">
        <x:f>F27-('JB inputs'!F19/'JB inputs'!$C$64)</x:f>
        <x:v>4.547473508864641e-13</x:v>
      </x:c>
      <x:c r="G82" s="34" t="n">
        <x:f>G27-('JB inputs'!G19/'JB inputs'!$C$64)</x:f>
        <x:v>-1.1368683772161603e-13</x:v>
      </x:c>
      <x:c r="H82" s="2"/>
      <x:c r="I82" s="2"/>
      <x:c r="J82" s="2"/>
    </x:row>
    <x:row r="83" ht="22" customHeight="1">
      <x:c r="A83" s="2"/>
      <x:c r="B83" s="2" t="str">
        <x:v>Assets less liabilities and equity</x:v>
      </x:c>
      <x:c r="C83" s="35" t="n">
        <x:f>C48-C49-C50-C51</x:f>
        <x:v>0</x:v>
      </x:c>
      <x:c r="D83" s="35" t="n">
        <x:f>D48-D49-D50-D51</x:f>
        <x:v>0</x:v>
      </x:c>
      <x:c r="E83" s="35" t="n">
        <x:f>E48-E49-E50-E51</x:f>
        <x:v>0</x:v>
      </x:c>
      <x:c r="F83" s="35" t="n">
        <x:f>F48-F49-F50-F51</x:f>
        <x:v>4.547473508864641e-13</x:v>
      </x:c>
      <x:c r="G83" s="35" t="n">
        <x:f>G48-G49-G50-G51</x:f>
        <x:v>-4.547473508864641e-13</x:v>
      </x:c>
      <x:c r="H83" s="2"/>
      <x:c r="I83" s="2"/>
      <x:c r="J83" s="2"/>
    </x:row>
    <x:row r="84" ht="22" customHeight="1">
      <x:c r="A84" s="2"/>
      <x:c r="B84" s="2" t="str">
        <x:v>Cash-flow bridge vs reported cash</x:v>
      </x:c>
      <x:c r="C84" s="34" t="n">
        <x:f>C68-('JB inputs'!C51/'JB inputs'!$C$64)</x:f>
        <x:v>-4.618527782440651e-14</x:v>
      </x:c>
      <x:c r="D84" s="34" t="n">
        <x:f>D68-('JB inputs'!D51/'JB inputs'!$C$64)</x:f>
        <x:v>0</x:v>
      </x:c>
      <x:c r="E84" s="34" t="n">
        <x:f>E68-('JB inputs'!E51/'JB inputs'!$C$64)</x:f>
        <x:v>-1.4210854715202004e-14</x:v>
      </x:c>
      <x:c r="F84" s="34" t="n">
        <x:f>F68-('JB inputs'!F51/'JB inputs'!$C$64)</x:f>
        <x:v>0</x:v>
      </x:c>
      <x:c r="G84" s="34" t="n">
        <x:f>G68-('JB inputs'!G51/'JB inputs'!$C$64)</x:f>
        <x:v>0</x:v>
      </x:c>
      <x:c r="H84" s="2"/>
      <x:c r="I84" s="2"/>
      <x:c r="J84" s="2"/>
    </x:row>
    <x:row r="85" ht="22" customHeight="1">
      <x:c r="A85" s="2"/>
      <x:c r="B85" s="2" t="str">
        <x:v>Cash bridge vs balance-sheet cash</x:v>
      </x:c>
      <x:c r="C85" s="35" t="n">
        <x:f>C70-C41</x:f>
        <x:v>-4.973799150320701e-14</x:v>
      </x:c>
      <x:c r="D85" s="35" t="n">
        <x:f>D70-D41</x:f>
        <x:v>0</x:v>
      </x:c>
      <x:c r="E85" s="35" t="n">
        <x:f>E70-E41</x:f>
        <x:v>-1.4210854715202004e-14</x:v>
      </x:c>
      <x:c r="F85" s="35" t="n">
        <x:f>F70-F41</x:f>
        <x:v>0</x:v>
      </x:c>
      <x:c r="G85" s="35" t="n">
        <x:f>G70-G41</x:f>
        <x:v>0</x:v>
      </x:c>
      <x:c r="H85" s="2"/>
      <x:c r="I85" s="2"/>
      <x:c r="J85" s="2"/>
    </x:row>
    <x:row r="86" ht="22" customHeight="1">
      <x:c r="A86" s="2"/>
      <x:c r="B86" s="2" t="str">
        <x:v>Basic EPS vs adjusted reported EPS</x:v>
      </x:c>
      <x:c r="C86" s="34" t="n">
        <x:f>C76-'JB inputs'!C60/'JB inputs'!C58</x:f>
        <x:v>0.0023657347186123445</x:v>
      </x:c>
      <x:c r="D86" s="34" t="n">
        <x:f>D76-'JB inputs'!D60/'JB inputs'!D58</x:f>
        <x:v>0.0018674673126426455</x:v>
      </x:c>
      <x:c r="E86" s="34" t="n">
        <x:f>E76-'JB inputs'!E60/'JB inputs'!E58</x:f>
        <x:v>0.0008423214253028277</x:v>
      </x:c>
      <x:c r="F86" s="34" t="n">
        <x:f>F76-'JB inputs'!F60/'JB inputs'!F58</x:f>
        <x:v>0.004561175879004509</x:v>
      </x:c>
      <x:c r="G86" s="34" t="n">
        <x:f>G76-'JB inputs'!G60/'JB inputs'!G58</x:f>
        <x:v>0.0037582238484503705</x:v>
      </x:c>
      <x:c r="H86" s="2"/>
      <x:c r="I86" s="2"/>
      <x:c r="J86" s="2"/>
    </x:row>
    <x:row r="87" ht="22" customHeight="1">
      <x:c r="A87" s="2"/>
      <x:c r="B87" s="2" t="str">
        <x:v>Diluted EPS vs adjusted reported EPS</x:v>
      </x:c>
      <x:c r="C87" s="34" t="n">
        <x:f>C77-'JB inputs'!C61/'JB inputs'!C58</x:f>
        <x:v>0.0023657347186123445</x:v>
      </x:c>
      <x:c r="D87" s="34" t="n">
        <x:f>D77-'JB inputs'!D61/'JB inputs'!D58</x:f>
        <x:v>-0.0017016283218325157</x:v>
      </x:c>
      <x:c r="E87" s="34" t="n">
        <x:f>E77-'JB inputs'!E61/'JB inputs'!E58</x:f>
        <x:v>-0.002090999532388338</x:v>
      </x:c>
      <x:c r="F87" s="34" t="n">
        <x:f>F77-'JB inputs'!F61/'JB inputs'!F58</x:f>
        <x:v>-0.003122284917033369</x:v>
      </x:c>
      <x:c r="G87" s="34" t="n">
        <x:f>G77-'JB inputs'!G61/'JB inputs'!G58</x:f>
        <x:v>0.0037649953406742043</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FY22–FY23 cash outflows include acquired brands in intangible capex. FY25 net cash on this narrow definition differs from management’s broader net-cash presentation; see Walkthrough.</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1" priority="1" operator="containsText" text="REVIEW"/>
  </x:conditionalFormatting>
  <x:pageMargins left="0.7" right="0.7" top="0.75" bottom="0.75" header="0.3" footer="0.3"/>
</x:worksheet>
</file>

<file path=xl/worksheets/sheet4.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 source inputs</x:v>
      </x:c>
      <x:c r="C2" s="5"/>
      <x:c r="D2" s="5"/>
      <x:c r="E2" s="5"/>
      <x:c r="F2" s="5"/>
      <x:c r="G2" s="5"/>
      <x:c r="H2" s="2"/>
      <x:c r="I2" s="2"/>
      <x:c r="J2" s="2"/>
    </x:row>
    <x:row r="3" ht="30" customHeight="1">
      <x:c r="A3" s="2"/>
      <x:c r="B3" s="8" t="str">
        <x:v>Consolidated • money in INR crore;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8004.83</x:v>
      </x:c>
      <x:c r="D7" s="19" t="n">
        <x:v>8508.04</x:v>
      </x:c>
      <x:c r="E7" s="19" t="n">
        <x:v>9620.15</x:v>
      </x:c>
      <x:c r="F7" s="19" t="n">
        <x:v>10727.84</x:v>
      </x:c>
      <x:c r="G7" s="19" t="n">
        <x:v>11516.09</x:v>
      </x:c>
      <x:c r="H7" s="2"/>
      <x:c r="I7" s="2"/>
      <x:c r="J7" s="20" t="str">
        <x:v>T21: FY21 | T23: FY22–23 | T25: FY24–25 · P&amp;L</x:v>
      </x:c>
    </x:row>
    <x:row r="8" ht="22" customHeight="1">
      <x:c r="A8" s="2"/>
      <x:c r="B8" s="26" t="str">
        <x:v>Materials consumed</x:v>
      </x:c>
      <x:c r="C8" s="19" t="n">
        <x:v>1420.69</x:v>
      </x:c>
      <x:c r="D8" s="19" t="n">
        <x:v>1537.5</x:v>
      </x:c>
      <x:c r="E8" s="19" t="n">
        <x:v>1480.42</x:v>
      </x:c>
      <x:c r="F8" s="19" t="n">
        <x:v>1657.59</x:v>
      </x:c>
      <x:c r="G8" s="19" t="n">
        <x:v>1520.32</x:v>
      </x:c>
      <x:c r="H8" s="2"/>
      <x:c r="I8" s="2"/>
      <x:c r="J8" s="20" t="str">
        <x:v>T21: FY21 | T23: FY22–23 | T25: FY24–25 · P&amp;L</x:v>
      </x:c>
    </x:row>
    <x:row r="9" ht="22" customHeight="1">
      <x:c r="A9" s="2"/>
      <x:c r="B9" s="26" t="str">
        <x:v>Stock-in-trade purchases</x:v>
      </x:c>
      <x:c r="C9" s="19" t="n">
        <x:v>1004.97</x:v>
      </x:c>
      <x:c r="D9" s="19" t="n">
        <x:v>830.65</x:v>
      </x:c>
      <x:c r="E9" s="19" t="n">
        <x:v>1088.58</x:v>
      </x:c>
      <x:c r="F9" s="19" t="n">
        <x:v>1183.63</x:v>
      </x:c>
      <x:c r="G9" s="19" t="n">
        <x:v>1530.5</x:v>
      </x:c>
      <x:c r="H9" s="2"/>
      <x:c r="I9" s="2"/>
      <x:c r="J9" s="20" t="str">
        <x:v>T21: FY21 | T23: FY22–23 | T25: FY24–25 · P&amp;L</x:v>
      </x:c>
    </x:row>
    <x:row r="10" ht="22" customHeight="1">
      <x:c r="A10" s="2"/>
      <x:c r="B10" s="26" t="str">
        <x:v>Inventory change: expense / (credit)</x:v>
      </x:c>
      <x:c r="C10" s="19" t="n">
        <x:v>-279.24</x:v>
      </x:c>
      <x:c r="D10" s="19" t="n">
        <x:v>73.86</x:v>
      </x:c>
      <x:c r="E10" s="19" t="n">
        <x:v>166.19</x:v>
      </x:c>
      <x:c r="F10" s="19" t="n">
        <x:v>-155.01</x:v>
      </x:c>
      <x:c r="G10" s="19" t="n">
        <x:v>-274.92</x:v>
      </x:c>
      <x:c r="H10" s="2"/>
      <x:c r="I10" s="2"/>
      <x:c r="J10" s="20" t="str">
        <x:v>T21: FY21 | T23: FY22–23 | T25: FY24–25 · P&amp;L</x:v>
      </x:c>
    </x:row>
    <x:row r="11" ht="22" customHeight="1">
      <x:c r="A11" s="2"/>
      <x:c r="B11" s="26" t="str">
        <x:v>Employee expense</x:v>
      </x:c>
      <x:c r="C11" s="19" t="n">
        <x:v>1439.62</x:v>
      </x:c>
      <x:c r="D11" s="19" t="n">
        <x:v>1526.45</x:v>
      </x:c>
      <x:c r="E11" s="19" t="n">
        <x:v>1677.69</x:v>
      </x:c>
      <x:c r="F11" s="19" t="n">
        <x:v>1984.4</x:v>
      </x:c>
      <x:c r="G11" s="19" t="n">
        <x:v>2203.37</x:v>
      </x:c>
      <x:c r="H11" s="2"/>
      <x:c r="I11" s="2"/>
      <x:c r="J11" s="20" t="str">
        <x:v>T21: FY21 | T23: FY22–23 | T25: FY24–25 · P&amp;L</x:v>
      </x:c>
    </x:row>
    <x:row r="12" ht="22" customHeight="1">
      <x:c r="A12" s="2"/>
      <x:c r="B12" s="26" t="str">
        <x:v>Other operating expenses</x:v>
      </x:c>
      <x:c r="C12" s="19" t="n">
        <x:v>1933.11</x:v>
      </x:c>
      <x:c r="D12" s="19" t="n">
        <x:v>2108.31</x:v>
      </x:c>
      <x:c r="E12" s="19" t="n">
        <x:v>2365.22</x:v>
      </x:c>
      <x:c r="F12" s="19" t="n">
        <x:v>2689.58</x:v>
      </x:c>
      <x:c r="G12" s="19" t="n">
        <x:v>2815.83</x:v>
      </x:c>
      <x:c r="H12" s="2"/>
      <x:c r="I12" s="2"/>
      <x:c r="J12" s="20" t="str">
        <x:v>T21: FY21 | T23: FY22–23 | T25: FY24–25 · P&amp;L</x:v>
      </x:c>
    </x:row>
    <x:row r="13" ht="22" customHeight="1">
      <x:c r="A13" s="2"/>
      <x:c r="B13" s="26" t="str">
        <x:v>Depreciation, amortisation &amp; impairment</x:v>
      </x:c>
      <x:c r="C13" s="19" t="n">
        <x:v>657.79</x:v>
      </x:c>
      <x:c r="D13" s="19" t="n">
        <x:v>662.16</x:v>
      </x:c>
      <x:c r="E13" s="19" t="n">
        <x:v>706.59</x:v>
      </x:c>
      <x:c r="F13" s="19" t="n">
        <x:v>808.27</x:v>
      </x:c>
      <x:c r="G13" s="19" t="n">
        <x:v>794.93</x:v>
      </x:c>
      <x:c r="H13" s="2"/>
      <x:c r="I13" s="2"/>
      <x:c r="J13" s="20" t="str">
        <x:v>T21: FY21 | T23: FY22–23 | T25: FY24–25 · P&amp;L</x:v>
      </x:c>
    </x:row>
    <x:row r="14" ht="22" customHeight="1">
      <x:c r="A14" s="2"/>
      <x:c r="B14" s="26" t="str">
        <x:v>Finance costs</x:v>
      </x:c>
      <x:c r="C14" s="19" t="n">
        <x:v>358.28</x:v>
      </x:c>
      <x:c r="D14" s="19" t="n">
        <x:v>255.06</x:v>
      </x:c>
      <x:c r="E14" s="19" t="n">
        <x:v>333.44</x:v>
      </x:c>
      <x:c r="F14" s="19" t="n">
        <x:v>353.56</x:v>
      </x:c>
      <x:c r="G14" s="19" t="n">
        <x:v>252.31</x:v>
      </x:c>
      <x:c r="H14" s="2"/>
      <x:c r="I14" s="2"/>
      <x:c r="J14" s="20" t="str">
        <x:v>T21: FY21 | T23: FY22–23 | T25: FY24–25 · P&amp;L</x:v>
      </x:c>
    </x:row>
    <x:row r="15" ht="22" customHeight="1">
      <x:c r="A15" s="2"/>
      <x:c r="B15" s="26" t="str">
        <x:v>Other income</x:v>
      </x:c>
      <x:c r="C15" s="19" t="n">
        <x:v>56.65</x:v>
      </x:c>
      <x:c r="D15" s="19" t="n">
        <x:v>196.56</x:v>
      </x:c>
      <x:c r="E15" s="19" t="n">
        <x:v>45.14</x:v>
      </x:c>
      <x:c r="F15" s="19" t="n">
        <x:v>57.91</x:v>
      </x:c>
      <x:c r="G15" s="19" t="n">
        <x:v>23.27</x:v>
      </x:c>
      <x:c r="H15" s="2"/>
      <x:c r="I15" s="2"/>
      <x:c r="J15" s="20" t="str">
        <x:v>T21: FY21 | T23: FY22–23 | T25: FY24–25 · P&amp;L</x:v>
      </x:c>
    </x:row>
    <x:row r="16" ht="22" customHeight="1">
      <x:c r="A16" s="2"/>
      <x:c r="B16" s="26" t="str">
        <x:v>Exceptional expense / (gain)</x:v>
      </x:c>
      <x:c r="C16" s="19" t="n">
        <x:v>0</x:v>
      </x:c>
      <x:c r="D16" s="19" t="n">
        <x:v>484.7</x:v>
      </x:c>
      <x:c r="E16" s="19" t="n">
        <x:v>0</x:v>
      </x:c>
      <x:c r="F16" s="19" t="n">
        <x:v>-88.38</x:v>
      </x:c>
      <x:c r="G16" s="19" t="n">
        <x:v>24.21</x:v>
      </x:c>
      <x:c r="H16" s="2"/>
      <x:c r="I16" s="2"/>
      <x:c r="J16" s="20" t="str">
        <x:v>T21: FY21 | T23: FY22–23 | T25: FY24–25 · P&amp;L</x:v>
      </x:c>
    </x:row>
    <x:row r="17" ht="22" customHeight="1">
      <x:c r="A17" s="2"/>
      <x:c r="B17" s="26" t="str">
        <x:v>Total tax expense</x:v>
      </x:c>
      <x:c r="C17" s="19" t="n">
        <x:v>274.38</x:v>
      </x:c>
      <x:c r="D17" s="19" t="n">
        <x:v>448.73</x:v>
      </x:c>
      <x:c r="E17" s="19" t="n">
        <x:v>601.93</x:v>
      </x:c>
      <x:c r="F17" s="19" t="n">
        <x:v>695.73</x:v>
      </x:c>
      <x:c r="G17" s="19" t="n">
        <x:v>761.56</x:v>
      </x:c>
      <x:c r="H17" s="2"/>
      <x:c r="I17" s="2"/>
      <x:c r="J17" s="20" t="str">
        <x:v>T21: FY21 | T23: FY22–23 | T25: FY24–25 · P&amp;L</x:v>
      </x:c>
    </x:row>
    <x:row r="18" ht="22" customHeight="1">
      <x:c r="A18" s="2"/>
      <x:c r="B18" s="26" t="str">
        <x:v>Reported profit before tax</x:v>
      </x:c>
      <x:c r="C18" s="19" t="n">
        <x:v>1526.26</x:v>
      </x:c>
      <x:c r="D18" s="19" t="n">
        <x:v>1225.91</x:v>
      </x:c>
      <x:c r="E18" s="19" t="n">
        <x:v>1847.16</x:v>
      </x:c>
      <x:c r="F18" s="19" t="n">
        <x:v>2352.11</x:v>
      </x:c>
      <x:c r="G18" s="19" t="n">
        <x:v>2672.81</x:v>
      </x:c>
      <x:c r="H18" s="2"/>
      <x:c r="I18" s="2"/>
      <x:c r="J18" s="20" t="str">
        <x:v>T21: FY21 | T23: FY22–23 | T25: FY24–25 · P&amp;L</x:v>
      </x:c>
    </x:row>
    <x:row r="19" ht="22" customHeight="1">
      <x:c r="A19" s="2"/>
      <x:c r="B19" s="26" t="str">
        <x:v>Reported total profit after tax</x:v>
      </x:c>
      <x:c r="C19" s="19" t="n">
        <x:v>1251.88</x:v>
      </x:c>
      <x:c r="D19" s="19" t="n">
        <x:v>777.18</x:v>
      </x:c>
      <x:c r="E19" s="19" t="n">
        <x:v>1245.23</x:v>
      </x:c>
      <x:c r="F19" s="19" t="n">
        <x:v>1656.38</x:v>
      </x:c>
      <x:c r="G19" s="19" t="n">
        <x:v>1911.25</x:v>
      </x:c>
      <x:c r="H19" s="2"/>
      <x:c r="I19" s="2"/>
      <x:c r="J19" s="20" t="str">
        <x:v>T21: FY21 | T23: FY22–23 | T25: FY24–25 · P&amp;L</x:v>
      </x:c>
    </x:row>
    <x:row r="20" ht="22" customHeight="1">
      <x:c r="A20" s="2"/>
      <x:c r="B20" s="26" t="str">
        <x:v>PAT attributable to owners</x:v>
      </x:c>
      <x:c r="C20" s="19" t="n">
        <x:v>1251.88</x:v>
      </x:c>
      <x:c r="D20" s="19" t="n">
        <x:v>777.18</x:v>
      </x:c>
      <x:c r="E20" s="19" t="n">
        <x:v>1245.23</x:v>
      </x:c>
      <x:c r="F20" s="19" t="n">
        <x:v>1656.38</x:v>
      </x:c>
      <x:c r="G20" s="19" t="n">
        <x:v>1911.25</x:v>
      </x:c>
      <x:c r="H20" s="2"/>
      <x:c r="I20" s="2"/>
      <x:c r="J20" s="20" t="str">
        <x:v>T21: FY21 | T23: FY22–23 | T25: FY24–25 · P&amp;L</x:v>
      </x:c>
    </x:row>
    <x:row r="21" ht="22" customHeight="1">
      <x:c r="A21" s="2"/>
      <x:c r="B21" s="26" t="str">
        <x:v>ESOP expense added back in adjustment</x:v>
      </x:c>
      <x:c r="C21" s="19" t="n">
        <x:v>0</x:v>
      </x:c>
      <x:c r="D21" s="19" t="n">
        <x:v>0</x:v>
      </x:c>
      <x:c r="E21" s="19" t="n">
        <x:v>0</x:v>
      </x:c>
      <x:c r="F21" s="19" t="n">
        <x:v>0</x:v>
      </x:c>
      <x:c r="G21" s="19" t="n">
        <x:v>0</x:v>
      </x:c>
      <x:c r="H21" s="2"/>
      <x:c r="I21" s="2"/>
      <x:c r="J21" s="20" t="str">
        <x:v>T21: FY21 | T23: FY22–23 | T25: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2681.2</x:v>
      </x:c>
      <x:c r="D24" s="19" t="n">
        <x:v>2462.32</x:v>
      </x:c>
      <x:c r="E24" s="19" t="n">
        <x:v>2229.64</x:v>
      </x:c>
      <x:c r="F24" s="19" t="n">
        <x:v>2279.07</x:v>
      </x:c>
      <x:c r="G24" s="19" t="n">
        <x:v>2541.25</x:v>
      </x:c>
      <x:c r="H24" s="2"/>
      <x:c r="I24" s="2"/>
      <x:c r="J24" s="20" t="str">
        <x:v>T21: FY21 | T23: FY22–23 | T25: FY24–25 · BS</x:v>
      </x:c>
    </x:row>
    <x:row r="25" ht="22" customHeight="1">
      <x:c r="A25" s="2"/>
      <x:c r="B25" s="26" t="str">
        <x:v>Trade receivables</x:v>
      </x:c>
      <x:c r="C25" s="19" t="n">
        <x:v>1523.37</x:v>
      </x:c>
      <x:c r="D25" s="19" t="n">
        <x:v>1632.48</x:v>
      </x:c>
      <x:c r="E25" s="19" t="n">
        <x:v>1943.82</x:v>
      </x:c>
      <x:c r="F25" s="19" t="n">
        <x:v>1844.3</x:v>
      </x:c>
      <x:c r="G25" s="19" t="n">
        <x:v>1866.45</x:v>
      </x:c>
      <x:c r="H25" s="2"/>
      <x:c r="I25" s="2"/>
      <x:c r="J25" s="20" t="str">
        <x:v>T21: FY21 | T23: FY22–23 | T25: FY24–25 · BS</x:v>
      </x:c>
    </x:row>
    <x:row r="26" ht="22" customHeight="1">
      <x:c r="A26" s="2"/>
      <x:c r="B26" s="26" t="str">
        <x:v>Trade payables</x:v>
      </x:c>
      <x:c r="C26" s="19" t="n">
        <x:v>2066.81</x:v>
      </x:c>
      <x:c r="D26" s="19" t="n">
        <x:v>1674.44</x:v>
      </x:c>
      <x:c r="E26" s="19" t="n">
        <x:v>1678.8</x:v>
      </x:c>
      <x:c r="F26" s="19" t="n">
        <x:v>2089.32</x:v>
      </x:c>
      <x:c r="G26" s="19" t="n">
        <x:v>1820.02</x:v>
      </x:c>
      <x:c r="H26" s="2"/>
      <x:c r="I26" s="2"/>
      <x:c r="J26" s="20" t="str">
        <x:v>T21: FY21 | T23: FY22–23 | T25: FY24–25 · BS</x:v>
      </x:c>
    </x:row>
    <x:row r="27" ht="22" customHeight="1">
      <x:c r="A27" s="2"/>
      <x:c r="B27" s="26" t="str">
        <x:v>Cash and cash equivalents</x:v>
      </x:c>
      <x:c r="C27" s="19" t="n">
        <x:v>572.56</x:v>
      </x:c>
      <x:c r="D27" s="19" t="n">
        <x:v>398.4</x:v>
      </x:c>
      <x:c r="E27" s="19" t="n">
        <x:v>508.53</x:v>
      </x:c>
      <x:c r="F27" s="19" t="n">
        <x:v>835.14</x:v>
      </x:c>
      <x:c r="G27" s="19" t="n">
        <x:v>573.48</x:v>
      </x:c>
      <x:c r="H27" s="2"/>
      <x:c r="I27" s="2"/>
      <x:c r="J27" s="20" t="str">
        <x:v>T21: FY21 | T23: FY22–23 | T25: FY24–25 · BS</x:v>
      </x:c>
    </x:row>
    <x:row r="28" ht="22" customHeight="1">
      <x:c r="A28" s="2"/>
      <x:c r="B28" s="26" t="str">
        <x:v>Current financial investments*</x:v>
      </x:c>
      <x:c r="C28" s="19" t="n">
        <x:v>139.03</x:v>
      </x:c>
      <x:c r="D28" s="19" t="n">
        <x:v>183.96</x:v>
      </x:c>
      <x:c r="E28" s="19" t="n">
        <x:v>156.06</x:v>
      </x:c>
      <x:c r="F28" s="19" t="n">
        <x:v>140.96</x:v>
      </x:c>
      <x:c r="G28" s="19" t="n">
        <x:v>112.21</x:v>
      </x:c>
      <x:c r="H28" s="2"/>
      <x:c r="I28" s="2"/>
      <x:c r="J28" s="20" t="str">
        <x:v>T21: FY21 | T23: FY22–23 | T25: FY24–25 · BS</x:v>
      </x:c>
    </x:row>
    <x:row r="29" ht="22" customHeight="1">
      <x:c r="A29" s="2"/>
      <x:c r="B29" s="26" t="str">
        <x:v>Other bank balances (excluded from net debt)</x:v>
      </x:c>
      <x:c r="C29" s="19" t="n">
        <x:v>30.94</x:v>
      </x:c>
      <x:c r="D29" s="19" t="n">
        <x:v>5.01</x:v>
      </x:c>
      <x:c r="E29" s="19" t="n">
        <x:v>62.93</x:v>
      </x:c>
      <x:c r="F29" s="19" t="n">
        <x:v>3.9</x:v>
      </x:c>
      <x:c r="G29" s="19" t="n">
        <x:v>5.98</x:v>
      </x:c>
      <x:c r="H29" s="2"/>
      <x:c r="I29" s="2"/>
      <x:c r="J29" s="20" t="str">
        <x:v>T21: FY21 | T23: FY22–23 | T25: FY24–25 · BS</x:v>
      </x:c>
    </x:row>
    <x:row r="30" ht="22" customHeight="1">
      <x:c r="A30" s="2"/>
      <x:c r="B30" s="26" t="str">
        <x:v>Total current assets</x:v>
      </x:c>
      <x:c r="C30" s="19" t="n">
        <x:v>5521.5</x:v>
      </x:c>
      <x:c r="D30" s="19" t="n">
        <x:v>5164.99</x:v>
      </x:c>
      <x:c r="E30" s="19" t="n">
        <x:v>5313.72</x:v>
      </x:c>
      <x:c r="F30" s="19" t="n">
        <x:v>5611.48</x:v>
      </x:c>
      <x:c r="G30" s="19" t="n">
        <x:v>5622.57</x:v>
      </x:c>
      <x:c r="H30" s="2"/>
      <x:c r="I30" s="2"/>
      <x:c r="J30" s="20" t="str">
        <x:v>T21: FY21 | T23: FY22–23 | T25: FY24–25 · BS</x:v>
      </x:c>
    </x:row>
    <x:row r="31" ht="22" customHeight="1">
      <x:c r="A31" s="2"/>
      <x:c r="B31" s="26" t="str">
        <x:v>Total assets</x:v>
      </x:c>
      <x:c r="C31" s="19" t="n">
        <x:v>14074.65</x:v>
      </x:c>
      <x:c r="D31" s="19" t="n">
        <x:v>13099.84</x:v>
      </x:c>
      <x:c r="E31" s="19" t="n">
        <x:v>15011.85</x:v>
      </x:c>
      <x:c r="F31" s="19" t="n">
        <x:v>15060.58</x:v>
      </x:c>
      <x:c r="G31" s="19" t="n">
        <x:v>14989.74</x:v>
      </x:c>
      <x:c r="H31" s="2"/>
      <x:c r="I31" s="2"/>
      <x:c r="J31" s="20" t="str">
        <x:v>T21: FY21 | T23: FY22–23 | T25: FY24–25 · BS</x:v>
      </x:c>
    </x:row>
    <x:row r="32" ht="22" customHeight="1">
      <x:c r="A32" s="2"/>
      <x:c r="B32" s="26" t="str">
        <x:v>Total equity, including NCI</x:v>
      </x:c>
      <x:c r="C32" s="19" t="n">
        <x:v>5837.17</x:v>
      </x:c>
      <x:c r="D32" s="19" t="n">
        <x:v>5952.95</x:v>
      </x:c>
      <x:c r="E32" s="19" t="n">
        <x:v>6198.07</x:v>
      </x:c>
      <x:c r="F32" s="19" t="n">
        <x:v>6856.15</x:v>
      </x:c>
      <x:c r="G32" s="19" t="n">
        <x:v>7590.69</x:v>
      </x:c>
      <x:c r="H32" s="2"/>
      <x:c r="I32" s="2"/>
      <x:c r="J32" s="20" t="str">
        <x:v>T21: FY21 | T23: FY22–23 | T25: FY24–25 · BS</x:v>
      </x:c>
    </x:row>
    <x:row r="33" ht="22" customHeight="1">
      <x:c r="A33" s="2"/>
      <x:c r="B33" s="26" t="str">
        <x:v>Non-current borrowings</x:v>
      </x:c>
      <x:c r="C33" s="19" t="n">
        <x:v>2941.07</x:v>
      </x:c>
      <x:c r="D33" s="19" t="n">
        <x:v>2123.22</x:v>
      </x:c>
      <x:c r="E33" s="19" t="n">
        <x:v>2496.22</x:v>
      </x:c>
      <x:c r="F33" s="19" t="n">
        <x:v>1603.78</x:v>
      </x:c>
      <x:c r="G33" s="19" t="n">
        <x:v>1191.75</x:v>
      </x:c>
      <x:c r="H33" s="2"/>
      <x:c r="I33" s="2"/>
      <x:c r="J33" s="20" t="str">
        <x:v>T21: FY21 | T23: FY22–23 | T25: FY24–25 · BS</x:v>
      </x:c>
    </x:row>
    <x:row r="34" ht="22" customHeight="1">
      <x:c r="A34" s="2"/>
      <x:c r="B34" s="26" t="str">
        <x:v>Current borrowings</x:v>
      </x:c>
      <x:c r="C34" s="19" t="n">
        <x:v>704.4</x:v>
      </x:c>
      <x:c r="D34" s="19" t="n">
        <x:v>1894.88</x:v>
      </x:c>
      <x:c r="E34" s="19" t="n">
        <x:v>2801.08</x:v>
      </x:c>
      <x:c r="F34" s="19" t="n">
        <x:v>2333.64</x:v>
      </x:c>
      <x:c r="G34" s="19" t="n">
        <x:v>1834.34</x:v>
      </x:c>
      <x:c r="H34" s="2"/>
      <x:c r="I34" s="2"/>
      <x:c r="J34" s="20" t="str">
        <x:v>T21: FY21 | T23: FY22–23 | T25: FY24–25 · BS</x:v>
      </x:c>
    </x:row>
    <x:row r="35" ht="22" customHeight="1">
      <x:c r="A35" s="2"/>
      <x:c r="B35" s="26" t="str">
        <x:v>Debt maturities outside borrowings line</x:v>
      </x:c>
      <x:c r="C35" s="19" t="n">
        <x:v>1179.99</x:v>
      </x:c>
      <x:c r="D35" s="19" t="n">
        <x:v>0</x:v>
      </x:c>
      <x:c r="E35" s="19" t="n">
        <x:v>0</x:v>
      </x:c>
      <x:c r="F35" s="19" t="n">
        <x:v>0</x:v>
      </x:c>
      <x:c r="G35" s="19" t="n">
        <x:v>0</x:v>
      </x:c>
      <x:c r="H35" s="2"/>
      <x:c r="I35" s="2"/>
      <x:c r="J35" s="20" t="str">
        <x:v>T21: FY21 | T23: FY22–23 | T25: FY24–25 · BS</x:v>
      </x:c>
    </x:row>
    <x:row r="36" ht="22" customHeight="1">
      <x:c r="A36" s="2"/>
      <x:c r="B36" s="26" t="str">
        <x:v>Non-current lease liabilities</x:v>
      </x:c>
      <x:c r="C36" s="19" t="n">
        <x:v>22.2</x:v>
      </x:c>
      <x:c r="D36" s="19" t="n">
        <x:v>36.82</x:v>
      </x:c>
      <x:c r="E36" s="19" t="n">
        <x:v>52.93</x:v>
      </x:c>
      <x:c r="F36" s="19" t="n">
        <x:v>64.46</x:v>
      </x:c>
      <x:c r="G36" s="19" t="n">
        <x:v>145.86</x:v>
      </x:c>
      <x:c r="H36" s="2"/>
      <x:c r="I36" s="2"/>
      <x:c r="J36" s="20" t="str">
        <x:v>T21: FY21 | T23: FY22–23 | T25: FY24–25 · BS</x:v>
      </x:c>
    </x:row>
    <x:row r="37" ht="22" customHeight="1">
      <x:c r="A37" s="2"/>
      <x:c r="B37" s="26" t="str">
        <x:v>Current lease liabilities</x:v>
      </x:c>
      <x:c r="C37" s="19" t="n">
        <x:v>26.47</x:v>
      </x:c>
      <x:c r="D37" s="19" t="n">
        <x:v>14.73</x:v>
      </x:c>
      <x:c r="E37" s="19" t="n">
        <x:v>18.33</x:v>
      </x:c>
      <x:c r="F37" s="19" t="n">
        <x:v>20.06</x:v>
      </x:c>
      <x:c r="G37" s="19" t="n">
        <x:v>30.37</x:v>
      </x:c>
      <x:c r="H37" s="2"/>
      <x:c r="I37" s="2"/>
      <x:c r="J37" s="20" t="str">
        <x:v>T21: FY21 | T23: FY22–23 | T25: FY24–25 · BS</x:v>
      </x:c>
    </x:row>
    <x:row r="38" ht="22" customHeight="1">
      <x:c r="A38" s="2"/>
      <x:c r="B38" s="26" t="str">
        <x:v>Total non-current liabilities</x:v>
      </x:c>
      <x:c r="C38" s="19" t="n">
        <x:v>3345.86</x:v>
      </x:c>
      <x:c r="D38" s="19" t="n">
        <x:v>2731.8</x:v>
      </x:c>
      <x:c r="E38" s="19" t="n">
        <x:v>3366.48</x:v>
      </x:c>
      <x:c r="F38" s="19" t="n">
        <x:v>2779.18</x:v>
      </x:c>
      <x:c r="G38" s="19" t="n">
        <x:v>2681.86</x:v>
      </x:c>
      <x:c r="H38" s="2"/>
      <x:c r="I38" s="2"/>
      <x:c r="J38" s="20" t="str">
        <x:v>T21: FY21 | T23: FY22–23 | T25: FY24–25 · BS</x:v>
      </x:c>
    </x:row>
    <x:row r="39" ht="22" customHeight="1">
      <x:c r="A39" s="2"/>
      <x:c r="B39" s="26" t="str">
        <x:v>Total current liabilities</x:v>
      </x:c>
      <x:c r="C39" s="19" t="n">
        <x:v>4891.62</x:v>
      </x:c>
      <x:c r="D39" s="19" t="n">
        <x:v>4415.09</x:v>
      </x:c>
      <x:c r="E39" s="19" t="n">
        <x:v>5447.3</x:v>
      </x:c>
      <x:c r="F39" s="19" t="n">
        <x:v>5425.25</x:v>
      </x:c>
      <x:c r="G39" s="19" t="n">
        <x:v>4717.19</x:v>
      </x:c>
      <x:c r="H39" s="2"/>
      <x:c r="I39" s="2"/>
      <x:c r="J39" s="20" t="str">
        <x:v>T21: FY21 | T23: FY22–23 | T25: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2010.69</x:v>
      </x:c>
      <x:c r="D42" s="19" t="n">
        <x:v>1802.99</x:v>
      </x:c>
      <x:c r="E42" s="19" t="n">
        <x:v>2368.13</x:v>
      </x:c>
      <x:c r="F42" s="19" t="n">
        <x:v>3266.08</x:v>
      </x:c>
      <x:c r="G42" s="19" t="n">
        <x:v>2585.11</x:v>
      </x:c>
      <x:c r="H42" s="2"/>
      <x:c r="I42" s="2"/>
      <x:c r="J42" s="20" t="str">
        <x:v>T21: FY21 | T23: FY22–23 | T25: FY24–25 · CF</x:v>
      </x:c>
    </x:row>
    <x:row r="43" ht="22" customHeight="1">
      <x:c r="A43" s="2"/>
      <x:c r="B43" s="26" t="str">
        <x:v>PPE / combined capex cash spend*</x:v>
      </x:c>
      <x:c r="C43" s="19" t="n">
        <x:v>335.15</x:v>
      </x:c>
      <x:c r="D43" s="19" t="n">
        <x:v>202.57</x:v>
      </x:c>
      <x:c r="E43" s="19" t="n">
        <x:v>573.94</x:v>
      </x:c>
      <x:c r="F43" s="19" t="n">
        <x:v>432.78</x:v>
      </x:c>
      <x:c r="G43" s="19" t="n">
        <x:v>611.87</x:v>
      </x:c>
      <x:c r="H43" s="2"/>
      <x:c r="I43" s="2"/>
      <x:c r="J43" s="20" t="str">
        <x:v>T21: FY21 | T23: FY22–23 | T25: FY24–25 · CF</x:v>
      </x:c>
    </x:row>
    <x:row r="44" ht="22" customHeight="1">
      <x:c r="A44" s="2"/>
      <x:c r="B44" s="26" t="str">
        <x:v>Separately disclosed intangible cash spend</x:v>
      </x:c>
      <x:c r="C44" s="19" t="n">
        <x:v>0</x:v>
      </x:c>
      <x:c r="D44" s="19" t="n">
        <x:v>0</x:v>
      </x:c>
      <x:c r="E44" s="19" t="n">
        <x:v>0</x:v>
      </x:c>
      <x:c r="F44" s="19" t="n">
        <x:v>0</x:v>
      </x:c>
      <x:c r="G44" s="19" t="n">
        <x:v>0</x:v>
      </x:c>
      <x:c r="H44" s="2"/>
      <x:c r="I44" s="2"/>
      <x:c r="J44" s="20" t="str">
        <x:v>T21: FY21 | T23: FY22–23 | T25: FY24–25 · CF</x:v>
      </x:c>
    </x:row>
    <x:row r="45" ht="22" customHeight="1">
      <x:c r="A45" s="2"/>
      <x:c r="B45" s="26" t="str">
        <x:v>Business acquisition cash payment</x:v>
      </x:c>
      <x:c r="C45" s="19" t="n">
        <x:v>0</x:v>
      </x:c>
      <x:c r="D45" s="19" t="n">
        <x:v>0</x:v>
      </x:c>
      <x:c r="E45" s="19" t="n">
        <x:v>2000</x:v>
      </x:c>
      <x:c r="F45" s="19" t="n">
        <x:v>0</x:v>
      </x:c>
      <x:c r="G45" s="19" t="n">
        <x:v>0</x:v>
      </x:c>
      <x:c r="H45" s="2"/>
      <x:c r="I45" s="2"/>
      <x:c r="J45" s="20" t="str">
        <x:v>T21: FY21 | T23: FY22–23 | T25: FY24–25 · CF</x:v>
      </x:c>
    </x:row>
    <x:row r="46" ht="22" customHeight="1">
      <x:c r="A46" s="2"/>
      <x:c r="B46" s="26" t="str">
        <x:v>Net cash from investing activities</x:v>
      </x:c>
      <x:c r="C46" s="19" t="n">
        <x:v>-449.42</x:v>
      </x:c>
      <x:c r="D46" s="19" t="n">
        <x:v>-196.63</x:v>
      </x:c>
      <x:c r="E46" s="19" t="n">
        <x:v>-2415.31</x:v>
      </x:c>
      <x:c r="F46" s="19" t="n">
        <x:v>-167.9</x:v>
      </x:c>
      <x:c r="G46" s="19" t="n">
        <x:v>-540.05</x:v>
      </x:c>
      <x:c r="H46" s="2"/>
      <x:c r="I46" s="2"/>
      <x:c r="J46" s="20" t="str">
        <x:v>T21: FY21 | T23: FY22–23 | T25: FY24–25 · CF</x:v>
      </x:c>
    </x:row>
    <x:row r="47" ht="22" customHeight="1">
      <x:c r="A47" s="2"/>
      <x:c r="B47" s="26" t="str">
        <x:v>Net cash from financing activities</x:v>
      </x:c>
      <x:c r="C47" s="19" t="n">
        <x:v>-1656.13</x:v>
      </x:c>
      <x:c r="D47" s="19" t="n">
        <x:v>-1781.05</x:v>
      </x:c>
      <x:c r="E47" s="19" t="n">
        <x:v>77.36</x:v>
      </x:c>
      <x:c r="F47" s="19" t="n">
        <x:v>-2779.64</x:v>
      </x:c>
      <x:c r="G47" s="19" t="n">
        <x:v>-2297.99</x:v>
      </x:c>
      <x:c r="H47" s="2"/>
      <x:c r="I47" s="2"/>
      <x:c r="J47" s="20" t="str">
        <x:v>T21: FY21 | T23: FY22–23 | T25: FY24–25 · CF</x:v>
      </x:c>
    </x:row>
    <x:row r="48" ht="22" customHeight="1">
      <x:c r="A48" s="2"/>
      <x:c r="B48" s="26" t="str">
        <x:v>Exchange effect on cash</x:v>
      </x:c>
      <x:c r="C48" s="19" t="n">
        <x:v>5.6</x:v>
      </x:c>
      <x:c r="D48" s="19" t="n">
        <x:v>0.53</x:v>
      </x:c>
      <x:c r="E48" s="19" t="n">
        <x:v>21.12</x:v>
      </x:c>
      <x:c r="F48" s="19" t="n">
        <x:v>8.07</x:v>
      </x:c>
      <x:c r="G48" s="19" t="n">
        <x:v>-8.73</x:v>
      </x:c>
      <x:c r="H48" s="2"/>
      <x:c r="I48" s="2"/>
      <x:c r="J48" s="20" t="str">
        <x:v>T21: FY21 | T23: FY22–23 | T25: FY24–25 · CF</x:v>
      </x:c>
    </x:row>
    <x:row r="49" ht="22" customHeight="1">
      <x:c r="A49" s="2"/>
      <x:c r="B49" s="26" t="str">
        <x:v>Opening cash: cash-flow statement</x:v>
      </x:c>
      <x:c r="C49" s="19" t="n">
        <x:v>661.82</x:v>
      </x:c>
      <x:c r="D49" s="19" t="n">
        <x:v>572.56</x:v>
      </x:c>
      <x:c r="E49" s="19" t="n">
        <x:v>398.4</x:v>
      </x:c>
      <x:c r="F49" s="19" t="n">
        <x:v>508.53</x:v>
      </x:c>
      <x:c r="G49" s="19" t="n">
        <x:v>835.14</x:v>
      </x:c>
      <x:c r="H49" s="2"/>
      <x:c r="I49" s="2"/>
      <x:c r="J49" s="20" t="str">
        <x:v>T21: FY21 | T23: FY22–23 | T25: FY24–25 · CF</x:v>
      </x:c>
    </x:row>
    <x:row r="50" ht="22" customHeight="1">
      <x:c r="A50" s="2"/>
      <x:c r="B50" s="26" t="str">
        <x:v>Cash acquired in subsidiary acquisition</x:v>
      </x:c>
      <x:c r="C50" s="19" t="n">
        <x:v>0</x:v>
      </x:c>
      <x:c r="D50" s="19" t="n">
        <x:v>0</x:v>
      </x:c>
      <x:c r="E50" s="19" t="n">
        <x:v>58.83</x:v>
      </x:c>
      <x:c r="F50" s="19" t="n">
        <x:v>0</x:v>
      </x:c>
      <x:c r="G50" s="19" t="n">
        <x:v>0</x:v>
      </x:c>
      <x:c r="H50" s="2"/>
      <x:c r="I50" s="2"/>
      <x:c r="J50" s="20" t="str">
        <x:v>T21: FY21 | T23: FY22–23 | T25: FY24–25 · CF</x:v>
      </x:c>
    </x:row>
    <x:row r="51" ht="22" customHeight="1">
      <x:c r="A51" s="2"/>
      <x:c r="B51" s="26" t="str">
        <x:v>Closing cash: cash-flow statement</x:v>
      </x:c>
      <x:c r="C51" s="19" t="n">
        <x:v>572.56</x:v>
      </x:c>
      <x:c r="D51" s="19" t="n">
        <x:v>398.4</x:v>
      </x:c>
      <x:c r="E51" s="19" t="n">
        <x:v>508.53</x:v>
      </x:c>
      <x:c r="F51" s="19" t="n">
        <x:v>835.14</x:v>
      </x:c>
      <x:c r="G51" s="19" t="n">
        <x:v>573.48</x:v>
      </x:c>
      <x:c r="H51" s="2"/>
      <x:c r="I51" s="2"/>
      <x:c r="J51" s="20" t="str">
        <x:v>T21: FY21 | T23: FY22–23 | T25: FY24–25 · CF</x:v>
      </x:c>
    </x:row>
    <x:row r="52" ht="22" customHeight="1">
      <x:c r="A52" s="2"/>
      <x:c r="B52" s="26" t="str">
        <x:v>Overdraft netted from cash-flow cash</x:v>
      </x:c>
      <x:c r="C52" s="19" t="n">
        <x:v>0</x:v>
      </x:c>
      <x:c r="D52" s="19" t="n">
        <x:v>0</x:v>
      </x:c>
      <x:c r="E52" s="19" t="n">
        <x:v>0</x:v>
      </x:c>
      <x:c r="F52" s="19" t="n">
        <x:v>0</x:v>
      </x:c>
      <x:c r="G52" s="19" t="n">
        <x:v>0</x:v>
      </x:c>
      <x:c r="H52" s="2"/>
      <x:c r="I52" s="2"/>
      <x:c r="J52" s="20" t="str">
        <x:v>T21: FY21 | T23: FY22–23 | T25: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169222720</x:v>
      </x:c>
      <x:c r="D55" s="23" t="n">
        <x:v>338445440</x:v>
      </x:c>
      <x:c r="E55" s="23" t="n">
        <x:v>338445440</x:v>
      </x:c>
      <x:c r="F55" s="23" t="n">
        <x:v>338445440</x:v>
      </x:c>
      <x:c r="G55" s="23" t="n">
        <x:v>338445440</x:v>
      </x:c>
      <x:c r="H55" s="2"/>
      <x:c r="I55" s="2"/>
      <x:c r="J55" s="20" t="str">
        <x:v>T21: FY21 | T23: FY22–23 | T25: FY24–25 · EPS / share notes</x:v>
      </x:c>
    </x:row>
    <x:row r="56" ht="22" customHeight="1">
      <x:c r="A56" s="2"/>
      <x:c r="B56" s="26" t="str">
        <x:v>Weighted-average diluted shares (count)</x:v>
      </x:c>
      <x:c r="C56" s="23" t="n">
        <x:v>169222720</x:v>
      </x:c>
      <x:c r="D56" s="23" t="n">
        <x:v>338445440</x:v>
      </x:c>
      <x:c r="E56" s="23" t="n">
        <x:v>338445440</x:v>
      </x:c>
      <x:c r="F56" s="23" t="n">
        <x:v>338445440</x:v>
      </x:c>
      <x:c r="G56" s="23" t="n">
        <x:v>338445440</x:v>
      </x:c>
      <x:c r="H56" s="2"/>
      <x:c r="I56" s="2"/>
      <x:c r="J56" s="20" t="str">
        <x:v>T21: FY21 | T23: FY22–23 | T25: FY24–25 · EPS / share notes</x:v>
      </x:c>
    </x:row>
    <x:row r="57" ht="22" customHeight="1">
      <x:c r="A57" s="2"/>
      <x:c r="B57" s="26" t="str">
        <x:v>Closing issued shares (count)</x:v>
      </x:c>
      <x:c r="C57" s="23" t="n">
        <x:v>169222720</x:v>
      </x:c>
      <x:c r="D57" s="23" t="n">
        <x:v>169222720</x:v>
      </x:c>
      <x:c r="E57" s="23" t="n">
        <x:v>338445440</x:v>
      </x:c>
      <x:c r="F57" s="23" t="n">
        <x:v>338445440</x:v>
      </x:c>
      <x:c r="G57" s="23" t="n">
        <x:v>338445440</x:v>
      </x:c>
      <x:c r="H57" s="2"/>
      <x:c r="I57" s="2"/>
      <x:c r="J57" s="20" t="str">
        <x:v>T21: FY21 | T23: FY22–23 | T25: FY24–25 · EPS / share notes</x:v>
      </x:c>
    </x:row>
    <x:row r="58" ht="22" customHeight="1">
      <x:c r="A58" s="2"/>
      <x:c r="B58" s="26" t="str">
        <x:v>WA share adjustment to FY25 basis (x)</x:v>
      </x:c>
      <x:c r="C58" s="24" t="n">
        <x:v>2</x:v>
      </x:c>
      <x:c r="D58" s="24" t="n">
        <x:v>1</x:v>
      </x:c>
      <x:c r="E58" s="24" t="n">
        <x:v>1</x:v>
      </x:c>
      <x:c r="F58" s="24" t="n">
        <x:v>1</x:v>
      </x:c>
      <x:c r="G58" s="24" t="n">
        <x:v>1</x:v>
      </x:c>
      <x:c r="H58" s="2"/>
      <x:c r="I58" s="2"/>
      <x:c r="J58" s="20" t="str">
        <x:v>T21: FY21 | T23: FY22–23 | T25: FY24–25 · EPS / share notes</x:v>
      </x:c>
    </x:row>
    <x:row r="59" ht="22" customHeight="1">
      <x:c r="A59" s="2"/>
      <x:c r="B59" s="26" t="str">
        <x:v>Closing share adjustment to FY25 basis (x)</x:v>
      </x:c>
      <x:c r="C59" s="24" t="n">
        <x:v>2</x:v>
      </x:c>
      <x:c r="D59" s="24" t="n">
        <x:v>2</x:v>
      </x:c>
      <x:c r="E59" s="24" t="n">
        <x:v>1</x:v>
      </x:c>
      <x:c r="F59" s="24" t="n">
        <x:v>1</x:v>
      </x:c>
      <x:c r="G59" s="24" t="n">
        <x:v>1</x:v>
      </x:c>
      <x:c r="H59" s="2"/>
      <x:c r="I59" s="2"/>
      <x:c r="J59" s="20" t="str">
        <x:v>T21: FY21 | T23: FY22–23 | T25: FY24–25 · EPS / share notes</x:v>
      </x:c>
    </x:row>
    <x:row r="60" ht="22" customHeight="1">
      <x:c r="A60" s="2"/>
      <x:c r="B60" s="26" t="str">
        <x:v>Reported basic EPS (INR)</x:v>
      </x:c>
      <x:c r="C60" s="24" t="n">
        <x:v>73.98</x:v>
      </x:c>
      <x:c r="D60" s="24" t="n">
        <x:v>22.96</x:v>
      </x:c>
      <x:c r="E60" s="24" t="n">
        <x:v>36.79</x:v>
      </x:c>
      <x:c r="F60" s="24" t="n">
        <x:v>48.94</x:v>
      </x:c>
      <x:c r="G60" s="24" t="n">
        <x:v>56.47</x:v>
      </x:c>
      <x:c r="H60" s="2"/>
      <x:c r="I60" s="2"/>
      <x:c r="J60" s="20" t="str">
        <x:v>T21: FY21 | T23: FY22–23 | T25: FY24–25 · EPS / share notes</x:v>
      </x:c>
    </x:row>
    <x:row r="61" ht="22" customHeight="1">
      <x:c r="A61" s="2"/>
      <x:c r="B61" s="26" t="str">
        <x:v>Reported diluted EPS (INR)</x:v>
      </x:c>
      <x:c r="C61" s="24" t="n">
        <x:v>73.98</x:v>
      </x:c>
      <x:c r="D61" s="24" t="n">
        <x:v>22.96</x:v>
      </x:c>
      <x:c r="E61" s="24" t="n">
        <x:v>36.79</x:v>
      </x:c>
      <x:c r="F61" s="24" t="n">
        <x:v>48.94</x:v>
      </x:c>
      <x:c r="G61" s="24" t="n">
        <x:v>56.47</x:v>
      </x:c>
      <x:c r="H61" s="2"/>
      <x:c r="I61" s="2"/>
      <x:c r="J61" s="20" t="str">
        <x:v>T21: FY21 | T23: FY22–23 | T25: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5666</x:v>
      </x:c>
      <x:c r="G67" s="3" t="n">
        <x:v>6393</x:v>
      </x:c>
      <x:c r="H67" s="2"/>
      <x:c r="I67" s="2"/>
      <x:c r="J67" s="2" t="str">
        <x:v>FY24 / FY25 India revenue, T25 p132 (rounded management commercial market).</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T21 — FY21 annual report. FY21: BS p212; P&amp;L p213; CF p216; debt p243; EPS p246.</x:v>
      </x:c>
      <x:c r="C70" s="9"/>
      <x:c r="D70" s="9"/>
      <x:c r="E70" s="9"/>
      <x:c r="F70" s="9"/>
      <x:c r="G70" s="9"/>
      <x:c r="H70" s="2"/>
      <x:c r="I70" s="2"/>
      <x:c r="J70" s="2"/>
    </x:row>
    <x:row r="71" ht="36" customHeight="1">
      <x:c r="A71" s="2"/>
      <x:c r="B71" s="8" t="str">
        <x:v>https://www.torrentpharma.com/pdf/investors/AR-2020-21.pdf</x:v>
      </x:c>
      <x:c r="C71" s="9"/>
      <x:c r="D71" s="9"/>
      <x:c r="E71" s="9"/>
      <x:c r="F71" s="9"/>
      <x:c r="G71" s="9"/>
      <x:c r="H71" s="2"/>
      <x:c r="I71" s="2"/>
      <x:c r="J71" s="2"/>
    </x:row>
    <x:row r="72" ht="42" customHeight="1">
      <x:c r="A72" s="2"/>
      <x:c r="B72" s="8" t="str">
        <x:v>T23 — FY23 annual report. FY22/FY23: BS p288; P&amp;L p289; CF pp292–293; EPS pp330–331.</x:v>
      </x:c>
      <x:c r="C72" s="9"/>
      <x:c r="D72" s="9"/>
      <x:c r="E72" s="9"/>
      <x:c r="F72" s="9"/>
      <x:c r="G72" s="9"/>
      <x:c r="H72" s="2"/>
      <x:c r="I72" s="2"/>
      <x:c r="J72" s="2"/>
    </x:row>
    <x:row r="73" ht="36" customHeight="1">
      <x:c r="A73" s="2"/>
      <x:c r="B73" s="8" t="str">
        <x:v>https://torrentpharma.com/pdf/download/AR-2022-23.pdf</x:v>
      </x:c>
      <x:c r="C73" s="9"/>
      <x:c r="D73" s="9"/>
      <x:c r="E73" s="9"/>
      <x:c r="F73" s="9"/>
      <x:c r="G73" s="9"/>
      <x:c r="H73" s="2"/>
      <x:c r="I73" s="2"/>
      <x:c r="J73" s="2"/>
    </x:row>
    <x:row r="74" ht="42" customHeight="1">
      <x:c r="A74" s="2"/>
      <x:c r="B74" s="8" t="str">
        <x:v>T25 — FY25 annual report. FY24/FY25: BS p298; P&amp;L p299; CF p302; EPS p343; India p132.</x:v>
      </x:c>
      <x:c r="C74" s="9"/>
      <x:c r="D74" s="9"/>
      <x:c r="E74" s="9"/>
      <x:c r="F74" s="9"/>
      <x:c r="G74" s="9"/>
      <x:c r="H74" s="2"/>
      <x:c r="I74" s="2"/>
      <x:c r="J74" s="2"/>
    </x:row>
    <x:row r="75" ht="36" customHeight="1">
      <x:c r="A75" s="2"/>
      <x:c r="B75" s="8" t="str">
        <x:v>https://www.torrentpharma.com/pdf/investors/AR-2024-25_Single_page_view.pdf</x:v>
      </x:c>
      <x:c r="C75" s="9"/>
      <x:c r="D75" s="9"/>
      <x:c r="E75" s="9"/>
      <x:c r="F75" s="9"/>
      <x:c r="G75" s="9"/>
      <x:c r="H75" s="2"/>
      <x:c r="I75" s="2"/>
      <x:c r="J75" s="2"/>
    </x:row>
    <x:row r="76" ht="52" customHeight="1">
      <x:c r="A76" s="2"/>
      <x:c r="B76" s="8" t="str">
        <x:v>* Current investments: liquid mutual funds from the cash-flow note. Capex is the combined PPE / intangible cash payment. The separate intangible row is zero to prevent double counting.</x:v>
      </x:c>
      <x:c r="C76" s="9"/>
      <x:c r="D76" s="9"/>
      <x:c r="E76" s="9"/>
      <x:c r="F76" s="9"/>
      <x:c r="G76" s="9"/>
      <x:c r="H76" s="2"/>
      <x:c r="I76" s="2"/>
      <x:c r="J76" s="2"/>
    </x:row>
    <x:row r="77" ht="48" customHeight="1">
      <x:c r="A77" s="2"/>
      <x:c r="B77" s="8" t="str">
        <x:v>FY21: INR 1,179.99 crore of current debt maturities sat in other financial liabilities. Later years include maturities in current borrowings. ESOP adjustment is zero: none is applied.</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s>
  <x:pageMargins left="0.7" right="0.7" top="0.75" bottom="0.75" header="0.3" footer="0.3"/>
</x:worksheet>
</file>

<file path=xl/worksheets/sheet5.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JB | source inputs</x:v>
      </x:c>
      <x:c r="C2" s="5"/>
      <x:c r="D2" s="5"/>
      <x:c r="E2" s="5"/>
      <x:c r="F2" s="5"/>
      <x:c r="G2" s="5"/>
      <x:c r="H2" s="2"/>
      <x:c r="I2" s="2"/>
      <x:c r="J2" s="2"/>
    </x:row>
    <x:row r="3" ht="30" customHeight="1">
      <x:c r="A3" s="2"/>
      <x:c r="B3" s="8" t="str">
        <x:v>Consolidated • money in INR lakh;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204252.15</x:v>
      </x:c>
      <x:c r="D7" s="19" t="n">
        <x:v>242424.38</x:v>
      </x:c>
      <x:c r="E7" s="19" t="n">
        <x:v>314928.28</x:v>
      </x:c>
      <x:c r="F7" s="19" t="n">
        <x:v>348418.38</x:v>
      </x:c>
      <x:c r="G7" s="19" t="n">
        <x:v>391798.86</x:v>
      </x:c>
      <x:c r="H7" s="2"/>
      <x:c r="I7" s="2"/>
      <x:c r="J7" s="20" t="str">
        <x:v>J21: FY21 | J23: FY22–23 | J25: FY24–25 · P&amp;L</x:v>
      </x:c>
    </x:row>
    <x:row r="8" ht="22" customHeight="1">
      <x:c r="A8" s="2"/>
      <x:c r="B8" s="26" t="str">
        <x:v>Materials consumed</x:v>
      </x:c>
      <x:c r="C8" s="19" t="n">
        <x:v>54238.96</x:v>
      </x:c>
      <x:c r="D8" s="19" t="n">
        <x:v>60221.64</x:v>
      </x:c>
      <x:c r="E8" s="19" t="n">
        <x:v>78398.08</x:v>
      </x:c>
      <x:c r="F8" s="19" t="n">
        <x:v>81627.87</x:v>
      </x:c>
      <x:c r="G8" s="19" t="n">
        <x:v>82002.83</x:v>
      </x:c>
      <x:c r="H8" s="2"/>
      <x:c r="I8" s="2"/>
      <x:c r="J8" s="20" t="str">
        <x:v>J21: FY21 | J23: FY22–23 | J25: FY24–25 · P&amp;L</x:v>
      </x:c>
    </x:row>
    <x:row r="9" ht="22" customHeight="1">
      <x:c r="A9" s="2"/>
      <x:c r="B9" s="26" t="str">
        <x:v>Stock-in-trade purchases</x:v>
      </x:c>
      <x:c r="C9" s="19" t="n">
        <x:v>20036.65</x:v>
      </x:c>
      <x:c r="D9" s="19" t="n">
        <x:v>25816.46</x:v>
      </x:c>
      <x:c r="E9" s="19" t="n">
        <x:v>39522.14</x:v>
      </x:c>
      <x:c r="F9" s="19" t="n">
        <x:v>41262.36</x:v>
      </x:c>
      <x:c r="G9" s="19" t="n">
        <x:v>49694.65</x:v>
      </x:c>
      <x:c r="H9" s="2"/>
      <x:c r="I9" s="2"/>
      <x:c r="J9" s="20" t="str">
        <x:v>J21: FY21 | J23: FY22–23 | J25: FY24–25 · P&amp;L</x:v>
      </x:c>
    </x:row>
    <x:row r="10" ht="22" customHeight="1">
      <x:c r="A10" s="2"/>
      <x:c r="B10" s="26" t="str">
        <x:v>Inventory change: expense / (credit)</x:v>
      </x:c>
      <x:c r="C10" s="19" t="n">
        <x:v>-4125.71</x:v>
      </x:c>
      <x:c r="D10" s="19" t="n">
        <x:v>-1744.69</x:v>
      </x:c>
      <x:c r="E10" s="19" t="n">
        <x:v>-1100.05</x:v>
      </x:c>
      <x:c r="F10" s="19" t="n">
        <x:v>-4684.6</x:v>
      </x:c>
      <x:c r="G10" s="19" t="n">
        <x:v>-42.51</x:v>
      </x:c>
      <x:c r="H10" s="2"/>
      <x:c r="I10" s="2"/>
      <x:c r="J10" s="20" t="str">
        <x:v>J21: FY21 | J23: FY22–23 | J25: FY24–25 · P&amp;L</x:v>
      </x:c>
    </x:row>
    <x:row r="11" ht="22" customHeight="1">
      <x:c r="A11" s="2"/>
      <x:c r="B11" s="26" t="str">
        <x:v>Employee expense</x:v>
      </x:c>
      <x:c r="C11" s="19" t="n">
        <x:v>34060.09</x:v>
      </x:c>
      <x:c r="D11" s="19" t="n">
        <x:v>43924.22</x:v>
      </x:c>
      <x:c r="E11" s="19" t="n">
        <x:v>54345.1</x:v>
      </x:c>
      <x:c r="F11" s="19" t="n">
        <x:v>60141.11</x:v>
      </x:c>
      <x:c r="G11" s="19" t="n">
        <x:v>68760.78</x:v>
      </x:c>
      <x:c r="H11" s="2"/>
      <x:c r="I11" s="2"/>
      <x:c r="J11" s="20" t="str">
        <x:v>J21: FY21 | J23: FY22–23 | J25: FY24–25 · P&amp;L</x:v>
      </x:c>
    </x:row>
    <x:row r="12" ht="22" customHeight="1">
      <x:c r="A12" s="2"/>
      <x:c r="B12" s="26" t="str">
        <x:v>Other operating expenses</x:v>
      </x:c>
      <x:c r="C12" s="19" t="n">
        <x:v>44001.27</x:v>
      </x:c>
      <x:c r="D12" s="19" t="n">
        <x:v>59861.14</x:v>
      </x:c>
      <x:c r="E12" s="19" t="n">
        <x:v>74187.76</x:v>
      </x:c>
      <x:c r="F12" s="19" t="n">
        <x:v>80382.61</x:v>
      </x:c>
      <x:c r="G12" s="19" t="n">
        <x:v>88199.26</x:v>
      </x:c>
      <x:c r="H12" s="2"/>
      <x:c r="I12" s="2"/>
      <x:c r="J12" s="20" t="str">
        <x:v>J21: FY21 | J23: FY22–23 | J25: FY24–25 · P&amp;L</x:v>
      </x:c>
    </x:row>
    <x:row r="13" ht="22" customHeight="1">
      <x:c r="A13" s="2"/>
      <x:c r="B13" s="26" t="str">
        <x:v>Depreciation, amortisation &amp; impairment</x:v>
      </x:c>
      <x:c r="C13" s="19" t="n">
        <x:v>6866.55</x:v>
      </x:c>
      <x:c r="D13" s="19" t="n">
        <x:v>7265.99</x:v>
      </x:c>
      <x:c r="E13" s="19" t="n">
        <x:v>11440.69</x:v>
      </x:c>
      <x:c r="F13" s="19" t="n">
        <x:v>13832.04</x:v>
      </x:c>
      <x:c r="G13" s="19" t="n">
        <x:v>17103.69</x:v>
      </x:c>
      <x:c r="H13" s="2"/>
      <x:c r="I13" s="2"/>
      <x:c r="J13" s="20" t="str">
        <x:v>J21: FY21 | J23: FY22–23 | J25: FY24–25 · P&amp;L</x:v>
      </x:c>
    </x:row>
    <x:row r="14" ht="22" customHeight="1">
      <x:c r="A14" s="2"/>
      <x:c r="B14" s="26" t="str">
        <x:v>Finance costs</x:v>
      </x:c>
      <x:c r="C14" s="19" t="n">
        <x:v>724.12</x:v>
      </x:c>
      <x:c r="D14" s="19" t="n">
        <x:v>512.05</x:v>
      </x:c>
      <x:c r="E14" s="19" t="n">
        <x:v>3605.31</x:v>
      </x:c>
      <x:c r="F14" s="19" t="n">
        <x:v>4432.67</x:v>
      </x:c>
      <x:c r="G14" s="19" t="n">
        <x:v>1172.9</x:v>
      </x:c>
      <x:c r="H14" s="2"/>
      <x:c r="I14" s="2"/>
      <x:c r="J14" s="20" t="str">
        <x:v>J21: FY21 | J23: FY22–23 | J25: FY24–25 · P&amp;L</x:v>
      </x:c>
    </x:row>
    <x:row r="15" ht="22" customHeight="1">
      <x:c r="A15" s="2"/>
      <x:c r="B15" s="26" t="str">
        <x:v>Other income</x:v>
      </x:c>
      <x:c r="C15" s="19" t="n">
        <x:v>11238.32</x:v>
      </x:c>
      <x:c r="D15" s="19" t="n">
        <x:v>3922.63</x:v>
      </x:c>
      <x:c r="E15" s="19" t="n">
        <x:v>994.01</x:v>
      </x:c>
      <x:c r="F15" s="19" t="n">
        <x:v>3726.6</x:v>
      </x:c>
      <x:c r="G15" s="19" t="n">
        <x:v>3831.9</x:v>
      </x:c>
      <x:c r="H15" s="2"/>
      <x:c r="I15" s="2"/>
      <x:c r="J15" s="20" t="str">
        <x:v>J21: FY21 | J23: FY22–23 | J25: FY24–25 · P&amp;L</x:v>
      </x:c>
    </x:row>
    <x:row r="16" ht="22" customHeight="1">
      <x:c r="A16" s="2"/>
      <x:c r="B16" s="26" t="str">
        <x:v>Exceptional expense / (gain)</x:v>
      </x:c>
      <x:c r="C16" s="19" t="n">
        <x:v>0</x:v>
      </x:c>
      <x:c r="D16" s="19" t="n">
        <x:v>0</x:v>
      </x:c>
      <x:c r="E16" s="19" t="n">
        <x:v>0</x:v>
      </x:c>
      <x:c r="F16" s="19" t="n">
        <x:v>0</x:v>
      </x:c>
      <x:c r="G16" s="19" t="n">
        <x:v>0</x:v>
      </x:c>
      <x:c r="H16" s="2"/>
      <x:c r="I16" s="2"/>
      <x:c r="J16" s="20" t="str">
        <x:v>J21: FY21 | J23: FY22–23 | J25: FY24–25 · P&amp;L</x:v>
      </x:c>
    </x:row>
    <x:row r="17" ht="22" customHeight="1">
      <x:c r="A17" s="2"/>
      <x:c r="B17" s="26" t="str">
        <x:v>Total tax expense</x:v>
      </x:c>
      <x:c r="C17" s="19" t="n">
        <x:v>14836.24</x:v>
      </x:c>
      <x:c r="D17" s="19" t="n">
        <x:v>11886.31</x:v>
      </x:c>
      <x:c r="E17" s="19" t="n">
        <x:v>14522.73</x:v>
      </x:c>
      <x:c r="F17" s="19" t="n">
        <x:v>19888.14</x:v>
      </x:c>
      <x:c r="G17" s="19" t="n">
        <x:v>22780.98</x:v>
      </x:c>
      <x:c r="H17" s="2"/>
      <x:c r="I17" s="2"/>
      <x:c r="J17" s="20" t="str">
        <x:v>J21: FY21 | J23: FY22–23 | J25: FY24–25 · P&amp;L</x:v>
      </x:c>
    </x:row>
    <x:row r="18" ht="22" customHeight="1">
      <x:c r="A18" s="2"/>
      <x:c r="B18" s="26" t="str">
        <x:v>Reported profit before tax</x:v>
      </x:c>
      <x:c r="C18" s="19" t="n">
        <x:v>59688.54</x:v>
      </x:c>
      <x:c r="D18" s="19" t="n">
        <x:v>50490.2</x:v>
      </x:c>
      <x:c r="E18" s="19" t="n">
        <x:v>55523.26</x:v>
      </x:c>
      <x:c r="F18" s="19" t="n">
        <x:v>75150.92</x:v>
      </x:c>
      <x:c r="G18" s="19" t="n">
        <x:v>88739.16</x:v>
      </x:c>
      <x:c r="H18" s="2"/>
      <x:c r="I18" s="2"/>
      <x:c r="J18" s="20" t="str">
        <x:v>J21: FY21 | J23: FY22–23 | J25: FY24–25 · P&amp;L</x:v>
      </x:c>
    </x:row>
    <x:row r="19" ht="22" customHeight="1">
      <x:c r="A19" s="2"/>
      <x:c r="B19" s="26" t="str">
        <x:v>Reported total profit after tax</x:v>
      </x:c>
      <x:c r="C19" s="19" t="n">
        <x:v>44852.3</x:v>
      </x:c>
      <x:c r="D19" s="19" t="n">
        <x:v>38603.89</x:v>
      </x:c>
      <x:c r="E19" s="19" t="n">
        <x:v>41000.53</x:v>
      </x:c>
      <x:c r="F19" s="19" t="n">
        <x:v>55262.78</x:v>
      </x:c>
      <x:c r="G19" s="19" t="n">
        <x:v>65958.18</x:v>
      </x:c>
      <x:c r="H19" s="2"/>
      <x:c r="I19" s="2"/>
      <x:c r="J19" s="20" t="str">
        <x:v>J21: FY21 | J23: FY22–23 | J25: FY24–25 · P&amp;L</x:v>
      </x:c>
    </x:row>
    <x:row r="20" ht="22" customHeight="1">
      <x:c r="A20" s="2"/>
      <x:c r="B20" s="26" t="str">
        <x:v>PAT attributable to owners</x:v>
      </x:c>
      <x:c r="C20" s="19" t="n">
        <x:v>44796.36</x:v>
      </x:c>
      <x:c r="D20" s="19" t="n">
        <x:v>38535.74</x:v>
      </x:c>
      <x:c r="E20" s="19" t="n">
        <x:v>40983.55</x:v>
      </x:c>
      <x:c r="F20" s="19" t="n">
        <x:v>55262.78</x:v>
      </x:c>
      <x:c r="G20" s="19" t="n">
        <x:v>65958.18</x:v>
      </x:c>
      <x:c r="H20" s="2"/>
      <x:c r="I20" s="2"/>
      <x:c r="J20" s="20" t="str">
        <x:v>J21: FY21 | J23: FY22–23 | J25: FY24–25 · P&amp;L</x:v>
      </x:c>
    </x:row>
    <x:row r="21" ht="22" customHeight="1">
      <x:c r="A21" s="2"/>
      <x:c r="B21" s="26" t="str">
        <x:v>ESOP expense added back in adjustment</x:v>
      </x:c>
      <x:c r="C21" s="19" t="n">
        <x:v>0</x:v>
      </x:c>
      <x:c r="D21" s="19" t="n">
        <x:v>6265.35</x:v>
      </x:c>
      <x:c r="E21" s="19" t="n">
        <x:v>6937.34</x:v>
      </x:c>
      <x:c r="F21" s="19" t="n">
        <x:v>4196.65</x:v>
      </x:c>
      <x:c r="G21" s="19" t="n">
        <x:v>5490.26</x:v>
      </x:c>
      <x:c r="H21" s="2"/>
      <x:c r="I21" s="2"/>
      <x:c r="J21" s="20" t="str">
        <x:v>J21: FY21 | J23: FY22–23 | J25: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34744.68</x:v>
      </x:c>
      <x:c r="D24" s="19" t="n">
        <x:v>40996.11</x:v>
      </x:c>
      <x:c r="E24" s="19" t="n">
        <x:v>43048.43</x:v>
      </x:c>
      <x:c r="F24" s="19" t="n">
        <x:v>50251.28</x:v>
      </x:c>
      <x:c r="G24" s="19" t="n">
        <x:v>52895.53</x:v>
      </x:c>
      <x:c r="H24" s="2"/>
      <x:c r="I24" s="2"/>
      <x:c r="J24" s="20" t="str">
        <x:v>J21: FY21 | J23: FY22–23 | J25: FY24–25 · BS</x:v>
      </x:c>
    </x:row>
    <x:row r="25" ht="22" customHeight="1">
      <x:c r="A25" s="2"/>
      <x:c r="B25" s="26" t="str">
        <x:v>Trade receivables</x:v>
      </x:c>
      <x:c r="C25" s="19" t="n">
        <x:v>38901.91</x:v>
      </x:c>
      <x:c r="D25" s="19" t="n">
        <x:v>55568.68</x:v>
      </x:c>
      <x:c r="E25" s="19" t="n">
        <x:v>57580.01</x:v>
      </x:c>
      <x:c r="F25" s="19" t="n">
        <x:v>68691.88</x:v>
      </x:c>
      <x:c r="G25" s="19" t="n">
        <x:v>81537.88</x:v>
      </x:c>
      <x:c r="H25" s="2"/>
      <x:c r="I25" s="2"/>
      <x:c r="J25" s="20" t="str">
        <x:v>J21: FY21 | J23: FY22–23 | J25: FY24–25 · BS</x:v>
      </x:c>
    </x:row>
    <x:row r="26" ht="22" customHeight="1">
      <x:c r="A26" s="2"/>
      <x:c r="B26" s="26" t="str">
        <x:v>Trade payables</x:v>
      </x:c>
      <x:c r="C26" s="19" t="n">
        <x:v>18692.34</x:v>
      </x:c>
      <x:c r="D26" s="19" t="n">
        <x:v>22447.97</x:v>
      </x:c>
      <x:c r="E26" s="19" t="n">
        <x:v>23864.76</x:v>
      </x:c>
      <x:c r="F26" s="19" t="n">
        <x:v>35631.03</x:v>
      </x:c>
      <x:c r="G26" s="19" t="n">
        <x:v>41071.71</x:v>
      </x:c>
      <x:c r="H26" s="2"/>
      <x:c r="I26" s="2"/>
      <x:c r="J26" s="20" t="str">
        <x:v>J21: FY21 | J23: FY22–23 | J25: FY24–25 · BS</x:v>
      </x:c>
    </x:row>
    <x:row r="27" ht="22" customHeight="1">
      <x:c r="A27" s="2"/>
      <x:c r="B27" s="26" t="str">
        <x:v>Cash and cash equivalents</x:v>
      </x:c>
      <x:c r="C27" s="19" t="n">
        <x:v>2868.55</x:v>
      </x:c>
      <x:c r="D27" s="19" t="n">
        <x:v>5654.41</x:v>
      </x:c>
      <x:c r="E27" s="19" t="n">
        <x:v>7693.44</x:v>
      </x:c>
      <x:c r="F27" s="19" t="n">
        <x:v>8821.51</x:v>
      </x:c>
      <x:c r="G27" s="19" t="n">
        <x:v>11509.1</x:v>
      </x:c>
      <x:c r="H27" s="2"/>
      <x:c r="I27" s="2"/>
      <x:c r="J27" s="20" t="str">
        <x:v>J21: FY21 | J23: FY22–23 | J25: FY24–25 · BS</x:v>
      </x:c>
    </x:row>
    <x:row r="28" ht="22" customHeight="1">
      <x:c r="A28" s="2"/>
      <x:c r="B28" s="26" t="str">
        <x:v>Current financial investments*</x:v>
      </x:c>
      <x:c r="C28" s="19" t="n">
        <x:v>66497.48</x:v>
      </x:c>
      <x:c r="D28" s="19" t="n">
        <x:v>0</x:v>
      </x:c>
      <x:c r="E28" s="19" t="n">
        <x:v>19218.45</x:v>
      </x:c>
      <x:c r="F28" s="19" t="n">
        <x:v>36465.01</x:v>
      </x:c>
      <x:c r="G28" s="19" t="n">
        <x:v>31710.85</x:v>
      </x:c>
      <x:c r="H28" s="2"/>
      <x:c r="I28" s="2"/>
      <x:c r="J28" s="20" t="str">
        <x:v>J21: FY21 | J23: FY22–23 | J25: FY24–25 · BS</x:v>
      </x:c>
    </x:row>
    <x:row r="29" ht="22" customHeight="1">
      <x:c r="A29" s="2"/>
      <x:c r="B29" s="26" t="str">
        <x:v>Other bank balances (excluded from net debt)</x:v>
      </x:c>
      <x:c r="C29" s="19" t="n">
        <x:v>216.62</x:v>
      </x:c>
      <x:c r="D29" s="19" t="n">
        <x:v>198.38</x:v>
      </x:c>
      <x:c r="E29" s="19" t="n">
        <x:v>187.84</x:v>
      </x:c>
      <x:c r="F29" s="19" t="n">
        <x:v>732.33</x:v>
      </x:c>
      <x:c r="G29" s="19" t="n">
        <x:v>1435.79</x:v>
      </x:c>
      <x:c r="H29" s="2"/>
      <x:c r="I29" s="2"/>
      <x:c r="J29" s="20" t="str">
        <x:v>J21: FY21 | J23: FY22–23 | J25: FY24–25 · BS</x:v>
      </x:c>
    </x:row>
    <x:row r="30" ht="22" customHeight="1">
      <x:c r="A30" s="2"/>
      <x:c r="B30" s="26" t="str">
        <x:v>Total current assets</x:v>
      </x:c>
      <x:c r="C30" s="19" t="n">
        <x:v>155260.24</x:v>
      </x:c>
      <x:c r="D30" s="19" t="n">
        <x:v>125316.16</x:v>
      </x:c>
      <x:c r="E30" s="19" t="n">
        <x:v>152803.3</x:v>
      </x:c>
      <x:c r="F30" s="19" t="n">
        <x:v>185334.53</x:v>
      </x:c>
      <x:c r="G30" s="19" t="n">
        <x:v>192274.19</x:v>
      </x:c>
      <x:c r="H30" s="2"/>
      <x:c r="I30" s="2"/>
      <x:c r="J30" s="20" t="str">
        <x:v>J21: FY21 | J23: FY22–23 | J25: FY24–25 · BS</x:v>
      </x:c>
    </x:row>
    <x:row r="31" ht="22" customHeight="1">
      <x:c r="A31" s="2"/>
      <x:c r="B31" s="26" t="str">
        <x:v>Total assets</x:v>
      </x:c>
      <x:c r="C31" s="19" t="n">
        <x:v>223811.52</x:v>
      </x:c>
      <x:c r="D31" s="19" t="n">
        <x:v>260740.22</x:v>
      </x:c>
      <x:c r="E31" s="19" t="n">
        <x:v>355387.06</x:v>
      </x:c>
      <x:c r="F31" s="19" t="n">
        <x:v>399412.71</x:v>
      </x:c>
      <x:c r="G31" s="19" t="n">
        <x:v>427377.96</x:v>
      </x:c>
      <x:c r="H31" s="2"/>
      <x:c r="I31" s="2"/>
      <x:c r="J31" s="20" t="str">
        <x:v>J21: FY21 | J23: FY22–23 | J25: FY24–25 · BS</x:v>
      </x:c>
    </x:row>
    <x:row r="32" ht="22" customHeight="1">
      <x:c r="A32" s="2"/>
      <x:c r="B32" s="26" t="str">
        <x:v>Total equity, including NCI</x:v>
      </x:c>
      <x:c r="C32" s="19" t="n">
        <x:v>181342.99</x:v>
      </x:c>
      <x:c r="D32" s="19" t="n">
        <x:v>213861.29</x:v>
      </x:c>
      <x:c r="E32" s="19" t="n">
        <x:v>248035.22</x:v>
      </x:c>
      <x:c r="F32" s="19" t="n">
        <x:v>292332.93</x:v>
      </x:c>
      <x:c r="G32" s="19" t="n">
        <x:v>343331.51</x:v>
      </x:c>
      <x:c r="H32" s="2"/>
      <x:c r="I32" s="2"/>
      <x:c r="J32" s="20" t="str">
        <x:v>J21: FY21 | J23: FY22–23 | J25: FY24–25 · BS</x:v>
      </x:c>
    </x:row>
    <x:row r="33" ht="22" customHeight="1">
      <x:c r="A33" s="2"/>
      <x:c r="B33" s="26" t="str">
        <x:v>Non-current borrowings</x:v>
      </x:c>
      <x:c r="C33" s="19" t="n">
        <x:v>0</x:v>
      </x:c>
      <x:c r="D33" s="19" t="n">
        <x:v>0</x:v>
      </x:c>
      <x:c r="E33" s="19" t="n">
        <x:v>38322.03</x:v>
      </x:c>
      <x:c r="F33" s="19" t="n">
        <x:v>2363.87</x:v>
      </x:c>
      <x:c r="G33" s="19" t="n">
        <x:v>0</x:v>
      </x:c>
      <x:c r="H33" s="2"/>
      <x:c r="I33" s="2"/>
      <x:c r="J33" s="20" t="str">
        <x:v>J21: FY21 | J23: FY22–23 | J25: FY24–25 · BS</x:v>
      </x:c>
    </x:row>
    <x:row r="34" ht="22" customHeight="1">
      <x:c r="A34" s="2"/>
      <x:c r="B34" s="26" t="str">
        <x:v>Current borrowings</x:v>
      </x:c>
      <x:c r="C34" s="19" t="n">
        <x:v>3264.46</x:v>
      </x:c>
      <x:c r="D34" s="19" t="n">
        <x:v>2631.5</x:v>
      </x:c>
      <x:c r="E34" s="19" t="n">
        <x:v>16501.8</x:v>
      </x:c>
      <x:c r="F34" s="19" t="n">
        <x:v>33350.23</x:v>
      </x:c>
      <x:c r="G34" s="19" t="n">
        <x:v>1380.38</x:v>
      </x:c>
      <x:c r="H34" s="2"/>
      <x:c r="I34" s="2"/>
      <x:c r="J34" s="20" t="str">
        <x:v>J21: FY21 | J23: FY22–23 | J25: FY24–25 · BS</x:v>
      </x:c>
    </x:row>
    <x:row r="35" ht="22" customHeight="1">
      <x:c r="A35" s="2"/>
      <x:c r="B35" s="26" t="str">
        <x:v>Debt maturities outside borrowings line</x:v>
      </x:c>
      <x:c r="C35" s="19" t="n">
        <x:v>0</x:v>
      </x:c>
      <x:c r="D35" s="19" t="n">
        <x:v>0</x:v>
      </x:c>
      <x:c r="E35" s="19" t="n">
        <x:v>0</x:v>
      </x:c>
      <x:c r="F35" s="19" t="n">
        <x:v>0</x:v>
      </x:c>
      <x:c r="G35" s="19" t="n">
        <x:v>0</x:v>
      </x:c>
      <x:c r="H35" s="2"/>
      <x:c r="I35" s="2"/>
      <x:c r="J35" s="20" t="str">
        <x:v>J21: FY21 | J23: FY22–23 | J25: FY24–25 · BS</x:v>
      </x:c>
    </x:row>
    <x:row r="36" ht="22" customHeight="1">
      <x:c r="A36" s="2"/>
      <x:c r="B36" s="26" t="str">
        <x:v>Non-current lease liabilities</x:v>
      </x:c>
      <x:c r="C36" s="19" t="n">
        <x:v>514.14</x:v>
      </x:c>
      <x:c r="D36" s="19" t="n">
        <x:v>2061.76</x:v>
      </x:c>
      <x:c r="E36" s="19" t="n">
        <x:v>1532.1</x:v>
      </x:c>
      <x:c r="F36" s="19" t="n">
        <x:v>963.83</x:v>
      </x:c>
      <x:c r="G36" s="19" t="n">
        <x:v>635.3</x:v>
      </x:c>
      <x:c r="H36" s="2"/>
      <x:c r="I36" s="2"/>
      <x:c r="J36" s="20" t="str">
        <x:v>J21: FY21 | J23: FY22–23 | J25: FY24–25 · BS</x:v>
      </x:c>
    </x:row>
    <x:row r="37" ht="22" customHeight="1">
      <x:c r="A37" s="2"/>
      <x:c r="B37" s="26" t="str">
        <x:v>Current lease liabilities</x:v>
      </x:c>
      <x:c r="C37" s="19" t="n">
        <x:v>720.19</x:v>
      </x:c>
      <x:c r="D37" s="19" t="n">
        <x:v>762.62</x:v>
      </x:c>
      <x:c r="E37" s="19" t="n">
        <x:v>888.69</x:v>
      </x:c>
      <x:c r="F37" s="19" t="n">
        <x:v>1087.66</x:v>
      </x:c>
      <x:c r="G37" s="19" t="n">
        <x:v>773.3</x:v>
      </x:c>
      <x:c r="H37" s="2"/>
      <x:c r="I37" s="2"/>
      <x:c r="J37" s="20" t="str">
        <x:v>J21: FY21 | J23: FY22–23 | J25: FY24–25 · BS</x:v>
      </x:c>
    </x:row>
    <x:row r="38" ht="22" customHeight="1">
      <x:c r="A38" s="2"/>
      <x:c r="B38" s="26" t="str">
        <x:v>Total non-current liabilities</x:v>
      </x:c>
      <x:c r="C38" s="19" t="n">
        <x:v>7941.16</x:v>
      </x:c>
      <x:c r="D38" s="19" t="n">
        <x:v>8507.37</x:v>
      </x:c>
      <x:c r="E38" s="19" t="n">
        <x:v>51906.91</x:v>
      </x:c>
      <x:c r="F38" s="19" t="n">
        <x:v>20257.17</x:v>
      </x:c>
      <x:c r="G38" s="19" t="n">
        <x:v>20812.54</x:v>
      </x:c>
      <x:c r="H38" s="2"/>
      <x:c r="I38" s="2"/>
      <x:c r="J38" s="20" t="str">
        <x:v>J21: FY21 | J23: FY22–23 | J25: FY24–25 · BS</x:v>
      </x:c>
    </x:row>
    <x:row r="39" ht="22" customHeight="1">
      <x:c r="A39" s="2"/>
      <x:c r="B39" s="26" t="str">
        <x:v>Total current liabilities</x:v>
      </x:c>
      <x:c r="C39" s="19" t="n">
        <x:v>34527.37</x:v>
      </x:c>
      <x:c r="D39" s="19" t="n">
        <x:v>38371.56</x:v>
      </x:c>
      <x:c r="E39" s="19" t="n">
        <x:v>55444.93</x:v>
      </x:c>
      <x:c r="F39" s="19" t="n">
        <x:v>86822.61</x:v>
      </x:c>
      <x:c r="G39" s="19" t="n">
        <x:v>63233.91</x:v>
      </x:c>
      <x:c r="H39" s="2"/>
      <x:c r="I39" s="2"/>
      <x:c r="J39" s="20" t="str">
        <x:v>J21: FY21 | J23: FY22–23 | J25: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31478.49</x:v>
      </x:c>
      <x:c r="D42" s="19" t="n">
        <x:v>17013.45</x:v>
      </x:c>
      <x:c r="E42" s="19" t="n">
        <x:v>62561.21</x:v>
      </x:c>
      <x:c r="F42" s="19" t="n">
        <x:v>80061.17</x:v>
      </x:c>
      <x:c r="G42" s="19" t="n">
        <x:v>90244.98</x:v>
      </x:c>
      <x:c r="H42" s="2"/>
      <x:c r="I42" s="2"/>
      <x:c r="J42" s="20" t="str">
        <x:v>J21: FY21 | J23: FY22–23 | J25: FY24–25 · CF</x:v>
      </x:c>
    </x:row>
    <x:row r="43" ht="22" customHeight="1">
      <x:c r="A43" s="2"/>
      <x:c r="B43" s="26" t="str">
        <x:v>PPE / combined capex cash spend*</x:v>
      </x:c>
      <x:c r="C43" s="19" t="n">
        <x:v>4777.3</x:v>
      </x:c>
      <x:c r="D43" s="19" t="n">
        <x:v>6287</x:v>
      </x:c>
      <x:c r="E43" s="19" t="n">
        <x:v>7256.86</x:v>
      </x:c>
      <x:c r="F43" s="19" t="n">
        <x:v>12686.28</x:v>
      </x:c>
      <x:c r="G43" s="19" t="n">
        <x:v>9758.76</x:v>
      </x:c>
      <x:c r="H43" s="2"/>
      <x:c r="I43" s="2"/>
      <x:c r="J43" s="20" t="str">
        <x:v>J21: FY21 | J23: FY22–23 | J25: FY24–25 · CF</x:v>
      </x:c>
    </x:row>
    <x:row r="44" ht="22" customHeight="1">
      <x:c r="A44" s="2"/>
      <x:c r="B44" s="26" t="str">
        <x:v>Separately disclosed intangible cash spend</x:v>
      </x:c>
      <x:c r="C44" s="19" t="n">
        <x:v>0</x:v>
      </x:c>
      <x:c r="D44" s="19" t="n">
        <x:v>64391.92</x:v>
      </x:c>
      <x:c r="E44" s="19" t="n">
        <x:v>69237.84</x:v>
      </x:c>
      <x:c r="F44" s="19" t="n">
        <x:v>13450.42</x:v>
      </x:c>
      <x:c r="G44" s="19" t="n">
        <x:v>2271.85</x:v>
      </x:c>
      <x:c r="H44" s="2"/>
      <x:c r="I44" s="2"/>
      <x:c r="J44" s="20" t="str">
        <x:v>J21: FY21 | J23: FY22–23 | J25: FY24–25 · CF</x:v>
      </x:c>
    </x:row>
    <x:row r="45" ht="22" customHeight="1">
      <x:c r="A45" s="2"/>
      <x:c r="B45" s="26" t="str">
        <x:v>Business acquisition cash payment</x:v>
      </x:c>
      <x:c r="C45" s="19" t="n">
        <x:v>850</x:v>
      </x:c>
      <x:c r="D45" s="19" t="n">
        <x:v>0</x:v>
      </x:c>
      <x:c r="E45" s="19" t="n">
        <x:v>0</x:v>
      </x:c>
      <x:c r="F45" s="19" t="n">
        <x:v>0</x:v>
      </x:c>
      <x:c r="G45" s="19" t="n">
        <x:v>0</x:v>
      </x:c>
      <x:c r="H45" s="2"/>
      <x:c r="I45" s="2"/>
      <x:c r="J45" s="20" t="str">
        <x:v>J21: FY21 | J23: FY22–23 | J25: FY24–25 · CF</x:v>
      </x:c>
    </x:row>
    <x:row r="46" ht="22" customHeight="1">
      <x:c r="A46" s="2"/>
      <x:c r="B46" s="26" t="str">
        <x:v>Net cash from investing activities</x:v>
      </x:c>
      <x:c r="C46" s="19" t="n">
        <x:v>-23067.58</x:v>
      </x:c>
      <x:c r="D46" s="19" t="n">
        <x:v>231.99</x:v>
      </x:c>
      <x:c r="E46" s="19" t="n">
        <x:v>-96178.84</x:v>
      </x:c>
      <x:c r="F46" s="19" t="n">
        <x:v>-40383.04</x:v>
      </x:c>
      <x:c r="G46" s="19" t="n">
        <x:v>-29589.63</x:v>
      </x:c>
      <x:c r="H46" s="2"/>
      <x:c r="I46" s="2"/>
      <x:c r="J46" s="20" t="str">
        <x:v>J21: FY21 | J23: FY22–23 | J25: FY24–25 · CF</x:v>
      </x:c>
    </x:row>
    <x:row r="47" ht="22" customHeight="1">
      <x:c r="A47" s="2"/>
      <x:c r="B47" s="26" t="str">
        <x:v>Net cash from financing activities</x:v>
      </x:c>
      <x:c r="C47" s="19" t="n">
        <x:v>-8742.28</x:v>
      </x:c>
      <x:c r="D47" s="19" t="n">
        <x:v>-13838.51</x:v>
      </x:c>
      <x:c r="E47" s="19" t="n">
        <x:v>35653.8</x:v>
      </x:c>
      <x:c r="F47" s="19" t="n">
        <x:v>-38548.5</x:v>
      </x:c>
      <x:c r="G47" s="19" t="n">
        <x:v>-57967</x:v>
      </x:c>
      <x:c r="H47" s="2"/>
      <x:c r="I47" s="2"/>
      <x:c r="J47" s="20" t="str">
        <x:v>J21: FY21 | J23: FY22–23 | J25: FY24–25 · CF</x:v>
      </x:c>
    </x:row>
    <x:row r="48" ht="22" customHeight="1">
      <x:c r="A48" s="2"/>
      <x:c r="B48" s="26" t="str">
        <x:v>Exchange effect on cash</x:v>
      </x:c>
      <x:c r="C48" s="19" t="n">
        <x:v>3.55</x:v>
      </x:c>
      <x:c r="D48" s="19" t="n">
        <x:v>0.1</x:v>
      </x:c>
      <x:c r="E48" s="19" t="n">
        <x:v>2.86</x:v>
      </x:c>
      <x:c r="F48" s="19" t="n">
        <x:v>-1.56</x:v>
      </x:c>
      <x:c r="G48" s="19" t="n">
        <x:v>-0.76</x:v>
      </x:c>
      <x:c r="H48" s="2"/>
      <x:c r="I48" s="2"/>
      <x:c r="J48" s="20" t="str">
        <x:v>J21: FY21 | J23: FY22–23 | J25: FY24–25 · CF</x:v>
      </x:c>
    </x:row>
    <x:row r="49" ht="22" customHeight="1">
      <x:c r="A49" s="2"/>
      <x:c r="B49" s="26" t="str">
        <x:v>Opening cash: cash-flow statement</x:v>
      </x:c>
      <x:c r="C49" s="19" t="n">
        <x:v>2575.19</x:v>
      </x:c>
      <x:c r="D49" s="19" t="n">
        <x:v>2247.38</x:v>
      </x:c>
      <x:c r="E49" s="19" t="n">
        <x:v>5654.41</x:v>
      </x:c>
      <x:c r="F49" s="19" t="n">
        <x:v>7693.44</x:v>
      </x:c>
      <x:c r="G49" s="19" t="n">
        <x:v>8821.51</x:v>
      </x:c>
      <x:c r="H49" s="2"/>
      <x:c r="I49" s="2"/>
      <x:c r="J49" s="20" t="str">
        <x:v>J21: FY21 | J23: FY22–23 | J25: FY24–25 · CF</x:v>
      </x:c>
    </x:row>
    <x:row r="50" ht="22" customHeight="1">
      <x:c r="A50" s="2"/>
      <x:c r="B50" s="26" t="str">
        <x:v>Cash acquired in subsidiary acquisition</x:v>
      </x:c>
      <x:c r="C50" s="19" t="n">
        <x:v>0</x:v>
      </x:c>
      <x:c r="D50" s="19" t="n">
        <x:v>0</x:v>
      </x:c>
      <x:c r="E50" s="19" t="n">
        <x:v>0</x:v>
      </x:c>
      <x:c r="F50" s="19" t="n">
        <x:v>0</x:v>
      </x:c>
      <x:c r="G50" s="19" t="n">
        <x:v>0</x:v>
      </x:c>
      <x:c r="H50" s="2"/>
      <x:c r="I50" s="2"/>
      <x:c r="J50" s="20" t="str">
        <x:v>J21: FY21 | J23: FY22–23 | J25: FY24–25 · CF</x:v>
      </x:c>
    </x:row>
    <x:row r="51" ht="22" customHeight="1">
      <x:c r="A51" s="2"/>
      <x:c r="B51" s="26" t="str">
        <x:v>Closing cash: cash-flow statement</x:v>
      </x:c>
      <x:c r="C51" s="19" t="n">
        <x:v>2247.37</x:v>
      </x:c>
      <x:c r="D51" s="19" t="n">
        <x:v>5654.41</x:v>
      </x:c>
      <x:c r="E51" s="19" t="n">
        <x:v>7693.44</x:v>
      </x:c>
      <x:c r="F51" s="19" t="n">
        <x:v>8821.51</x:v>
      </x:c>
      <x:c r="G51" s="19" t="n">
        <x:v>11509.1</x:v>
      </x:c>
      <x:c r="H51" s="2"/>
      <x:c r="I51" s="2"/>
      <x:c r="J51" s="20" t="str">
        <x:v>J21: FY21 | J23: FY22–23 | J25: FY24–25 · CF</x:v>
      </x:c>
    </x:row>
    <x:row r="52" ht="22" customHeight="1">
      <x:c r="A52" s="2"/>
      <x:c r="B52" s="26" t="str">
        <x:v>Overdraft netted from cash-flow cash</x:v>
      </x:c>
      <x:c r="C52" s="19" t="n">
        <x:v>621.18</x:v>
      </x:c>
      <x:c r="D52" s="19" t="n">
        <x:v>0</x:v>
      </x:c>
      <x:c r="E52" s="19" t="n">
        <x:v>0</x:v>
      </x:c>
      <x:c r="F52" s="19" t="n">
        <x:v>0</x:v>
      </x:c>
      <x:c r="G52" s="19" t="n">
        <x:v>0</x:v>
      </x:c>
      <x:c r="H52" s="2"/>
      <x:c r="I52" s="2"/>
      <x:c r="J52" s="20" t="str">
        <x:v>J21: FY21 | J23: FY22–23 | J25: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77282097</x:v>
      </x:c>
      <x:c r="D55" s="23" t="n">
        <x:v>77282097</x:v>
      </x:c>
      <x:c r="E55" s="23" t="n">
        <x:v>77324995</x:v>
      </x:c>
      <x:c r="F55" s="23" t="n">
        <x:v>154951521</x:v>
      </x:c>
      <x:c r="G55" s="23" t="n">
        <x:v>155364761</x:v>
      </x:c>
      <x:c r="H55" s="2"/>
      <x:c r="I55" s="2"/>
      <x:c r="J55" s="20" t="str">
        <x:v>J21: FY21 | J23: FY22–23 | J25: FY24–25 · EPS / share notes</x:v>
      </x:c>
    </x:row>
    <x:row r="56" ht="22" customHeight="1">
      <x:c r="A56" s="2"/>
      <x:c r="B56" s="26" t="str">
        <x:v>Weighted-average diluted shares (count)</x:v>
      </x:c>
      <x:c r="C56" s="23" t="n">
        <x:v>77282097</x:v>
      </x:c>
      <x:c r="D56" s="23" t="n">
        <x:v>77355224</x:v>
      </x:c>
      <x:c r="E56" s="23" t="n">
        <x:v>78308798</x:v>
      </x:c>
      <x:c r="F56" s="23" t="n">
        <x:v>158587465</x:v>
      </x:c>
      <x:c r="G56" s="23" t="n">
        <x:v>158691543</x:v>
      </x:c>
      <x:c r="H56" s="2"/>
      <x:c r="I56" s="2"/>
      <x:c r="J56" s="20" t="str">
        <x:v>J21: FY21 | J23: FY22–23 | J25: FY24–25 · EPS / share notes</x:v>
      </x:c>
    </x:row>
    <x:row r="57" ht="22" customHeight="1">
      <x:c r="A57" s="2"/>
      <x:c r="B57" s="26" t="str">
        <x:v>Closing issued shares (count)</x:v>
      </x:c>
      <x:c r="C57" s="23" t="n">
        <x:v>77282097</x:v>
      </x:c>
      <x:c r="D57" s="23" t="n">
        <x:v>77282097</x:v>
      </x:c>
      <x:c r="E57" s="23" t="n">
        <x:v>77377584</x:v>
      </x:c>
      <x:c r="F57" s="23" t="n">
        <x:v>155194800</x:v>
      </x:c>
      <x:c r="G57" s="23" t="n">
        <x:v>155677208</x:v>
      </x:c>
      <x:c r="H57" s="2"/>
      <x:c r="I57" s="2"/>
      <x:c r="J57" s="20" t="str">
        <x:v>J21: FY21 | J23: FY22–23 | J25: FY24–25 · EPS / share notes</x:v>
      </x:c>
    </x:row>
    <x:row r="58" ht="22" customHeight="1">
      <x:c r="A58" s="2"/>
      <x:c r="B58" s="26" t="str">
        <x:v>WA share adjustment to FY25 basis (x)</x:v>
      </x:c>
      <x:c r="C58" s="24" t="n">
        <x:v>2</x:v>
      </x:c>
      <x:c r="D58" s="24" t="n">
        <x:v>2</x:v>
      </x:c>
      <x:c r="E58" s="24" t="n">
        <x:v>2</x:v>
      </x:c>
      <x:c r="F58" s="24" t="n">
        <x:v>1</x:v>
      </x:c>
      <x:c r="G58" s="24" t="n">
        <x:v>1</x:v>
      </x:c>
      <x:c r="H58" s="2"/>
      <x:c r="I58" s="2"/>
      <x:c r="J58" s="20" t="str">
        <x:v>J21: FY21 | J23: FY22–23 | J25: FY24–25 · EPS / share notes</x:v>
      </x:c>
    </x:row>
    <x:row r="59" ht="22" customHeight="1">
      <x:c r="A59" s="2"/>
      <x:c r="B59" s="26" t="str">
        <x:v>Closing share adjustment to FY25 basis (x)</x:v>
      </x:c>
      <x:c r="C59" s="24" t="n">
        <x:v>2</x:v>
      </x:c>
      <x:c r="D59" s="24" t="n">
        <x:v>2</x:v>
      </x:c>
      <x:c r="E59" s="24" t="n">
        <x:v>2</x:v>
      </x:c>
      <x:c r="F59" s="24" t="n">
        <x:v>1</x:v>
      </x:c>
      <x:c r="G59" s="24" t="n">
        <x:v>1</x:v>
      </x:c>
      <x:c r="H59" s="2"/>
      <x:c r="I59" s="2"/>
      <x:c r="J59" s="20" t="str">
        <x:v>J21: FY21 | J23: FY22–23 | J25: FY24–25 · EPS / share notes</x:v>
      </x:c>
    </x:row>
    <x:row r="60" ht="22" customHeight="1">
      <x:c r="A60" s="2"/>
      <x:c r="B60" s="26" t="str">
        <x:v>Reported basic EPS (INR)</x:v>
      </x:c>
      <x:c r="C60" s="24" t="n">
        <x:v>57.96</x:v>
      </x:c>
      <x:c r="D60" s="24" t="n">
        <x:v>49.86</x:v>
      </x:c>
      <x:c r="E60" s="24" t="n">
        <x:v>53</x:v>
      </x:c>
      <x:c r="F60" s="24" t="n">
        <x:v>35.66</x:v>
      </x:c>
      <x:c r="G60" s="24" t="n">
        <x:v>42.45</x:v>
      </x:c>
      <x:c r="H60" s="2"/>
      <x:c r="I60" s="2"/>
      <x:c r="J60" s="20" t="str">
        <x:v>J21: FY21 | J23: FY22–23 | J25: FY24–25 · EPS / share notes</x:v>
      </x:c>
    </x:row>
    <x:row r="61" ht="22" customHeight="1">
      <x:c r="A61" s="2"/>
      <x:c r="B61" s="26" t="str">
        <x:v>Reported diluted EPS (INR)</x:v>
      </x:c>
      <x:c r="C61" s="24" t="n">
        <x:v>57.96</x:v>
      </x:c>
      <x:c r="D61" s="24" t="n">
        <x:v>49.82</x:v>
      </x:c>
      <x:c r="E61" s="24" t="n">
        <x:v>52.34</x:v>
      </x:c>
      <x:c r="F61" s="24" t="n">
        <x:v>34.85</x:v>
      </x:c>
      <x:c r="G61" s="24" t="n">
        <x:v>41.56</x:v>
      </x:c>
      <x:c r="H61" s="2"/>
      <x:c r="I61" s="2"/>
      <x:c r="J61" s="20" t="str">
        <x:v>J21: FY21 | J23: FY22–23 | J25: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100</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189791.07</x:v>
      </x:c>
      <x:c r="G67" s="3" t="n">
        <x:v>226880.06</x:v>
      </x:c>
      <x:c r="H67" s="2"/>
      <x:c r="I67" s="2"/>
      <x:c r="J67" s="2" t="str">
        <x:v>FY24 / FY25 domestic formulations, J25 printed p257, note 31.</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J21 — FY21 annual report. FY21: BS p132; P&amp;L p133; CF pp134–135; EPS p173; leases p174.</x:v>
      </x:c>
      <x:c r="C70" s="9"/>
      <x:c r="D70" s="9"/>
      <x:c r="E70" s="9"/>
      <x:c r="F70" s="9"/>
      <x:c r="G70" s="9"/>
      <x:c r="H70" s="2"/>
      <x:c r="I70" s="2"/>
      <x:c r="J70" s="2"/>
    </x:row>
    <x:row r="71" ht="36" customHeight="1">
      <x:c r="A71" s="2"/>
      <x:c r="B71" s="8" t="str">
        <x:v>https://jbpharma.com/download/annual-report-of-2020-21/?wpdmdl=3366</x:v>
      </x:c>
      <x:c r="C71" s="9"/>
      <x:c r="D71" s="9"/>
      <x:c r="E71" s="9"/>
      <x:c r="F71" s="9"/>
      <x:c r="G71" s="9"/>
      <x:c r="H71" s="2"/>
      <x:c r="I71" s="2"/>
      <x:c r="J71" s="2"/>
    </x:row>
    <x:row r="72" ht="42" customHeight="1">
      <x:c r="A72" s="2"/>
      <x:c r="B72" s="8" t="str">
        <x:v>J23 — FY23 annual report. FY22/FY23: BS p174; P&amp;L p175; CF pp176–177; EPS p224.</x:v>
      </x:c>
      <x:c r="C72" s="9"/>
      <x:c r="D72" s="9"/>
      <x:c r="E72" s="9"/>
      <x:c r="F72" s="9"/>
      <x:c r="G72" s="9"/>
      <x:c r="H72" s="2"/>
      <x:c r="I72" s="2"/>
      <x:c r="J72" s="2"/>
    </x:row>
    <x:row r="73" ht="36" customHeight="1">
      <x:c r="A73" s="2"/>
      <x:c r="B73" s="8" t="str">
        <x:v>https://jbpharma.com/download/fy23-annual-report/?wpdmdl=8015</x:v>
      </x:c>
      <x:c r="C73" s="9"/>
      <x:c r="D73" s="9"/>
      <x:c r="E73" s="9"/>
      <x:c r="F73" s="9"/>
      <x:c r="G73" s="9"/>
      <x:c r="H73" s="2"/>
      <x:c r="I73" s="2"/>
      <x:c r="J73" s="2"/>
    </x:row>
    <x:row r="74" ht="42" customHeight="1">
      <x:c r="A74" s="2"/>
      <x:c r="B74" s="8" t="str">
        <x:v>J25 — FY25 annual report. FY24/FY25: BS p216; P&amp;L p217; CF pp218–219; EPS p269; India p266.</x:v>
      </x:c>
      <x:c r="C74" s="9"/>
      <x:c r="D74" s="9"/>
      <x:c r="E74" s="9"/>
      <x:c r="F74" s="9"/>
      <x:c r="G74" s="9"/>
      <x:c r="H74" s="2"/>
      <x:c r="I74" s="2"/>
      <x:c r="J74" s="2"/>
    </x:row>
    <x:row r="75" ht="36" customHeight="1">
      <x:c r="A75" s="2"/>
      <x:c r="B75" s="8" t="str">
        <x:v>https://jbpharma.com/download/fy25-annual-report/?wpdmdl=10520</x:v>
      </x:c>
      <x:c r="C75" s="9"/>
      <x:c r="D75" s="9"/>
      <x:c r="E75" s="9"/>
      <x:c r="F75" s="9"/>
      <x:c r="G75" s="9"/>
      <x:c r="H75" s="2"/>
      <x:c r="I75" s="2"/>
      <x:c r="J75" s="2"/>
    </x:row>
    <x:row r="76" ht="52" customHeight="1">
      <x:c r="A76" s="2"/>
      <x:c r="B76" s="8" t="str">
        <x:v>* Current investments use the reported current-investment balance; FY21 includes equity / hybrid funds. This is a market-value cash proxy, not a claim of unrestricted cash availability.</x:v>
      </x:c>
      <x:c r="C76" s="9"/>
      <x:c r="D76" s="9"/>
      <x:c r="E76" s="9"/>
      <x:c r="F76" s="9"/>
      <x:c r="G76" s="9"/>
      <x:c r="H76" s="2"/>
      <x:c r="I76" s="2"/>
      <x:c r="J76" s="2"/>
    </x:row>
    <x:row r="77" ht="48" customHeight="1">
      <x:c r="A77" s="2"/>
      <x:c r="B77" s="8" t="str">
        <x:v>FY22–FY23 intangible payments include major acquired brands. FY21 capex has no separate intangible line. FY21 cash-flow cash is net of INR 621.18 lakh bank overdraft.</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45" customHeight="1">
      <x:c r="A79" s="2"/>
      <x:c r="B79" s="8" t="str">
        <x:v>Additional cash-definition reference: J25, printed p243 note 9, non-current deposits INR 25,040.85 lakh; printed p246, other bank balances INR 1,435.79 lakh. These are excluded from the net-debt formula.</x:v>
      </x:c>
      <x:c r="C79" s="9"/>
      <x:c r="D79" s="9"/>
      <x:c r="E79" s="9"/>
      <x:c r="F79" s="9"/>
      <x:c r="G79" s="9"/>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5" customHeight="1">
      <x:c r="A82" s="2"/>
      <x:c r="B82" s="48" t="str">
        <x:v>CDMO REVENUE FOR THE STANDALONE FORECAST</x:v>
      </x:c>
      <x:c r="C82" s="49"/>
      <x:c r="D82" s="49"/>
      <x:c r="E82" s="49"/>
      <x:c r="F82" s="49"/>
      <x:c r="G82" s="49"/>
      <x:c r="H82" s="2"/>
      <x:c r="I82" s="2"/>
      <x:c r="J82" s="2"/>
    </x:row>
    <x:row r="83" ht="40" customHeight="1">
      <x:c r="A83" s="2"/>
      <x:c r="B83" s="2" t="str">
        <x:v>Contract manufacturing revenue (INR lakh)</x:v>
      </x:c>
      <x:c r="C83" s="3"/>
      <x:c r="D83" s="3"/>
      <x:c r="E83" s="3"/>
      <x:c r="F83" s="50" t="n">
        <x:v>43184.57</x:v>
      </x:c>
      <x:c r="G83" s="50" t="n">
        <x:v>44606.83</x:v>
      </x:c>
      <x:c r="H83" s="2"/>
      <x:c r="I83" s="2"/>
      <x:c r="J83" s="8" t="str">
        <x:v>J25, printed p257, note 31. FY24 / FY25. Same report URL as source register.</x:v>
      </x:c>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 ref="B79:G79"/>
    <x:mergeCell ref="B82:G82"/>
  </x:mergeCells>
  <x:pageMargins left="0.7" right="0.7" top="0.75" bottom="0.75" header="0.3" footer="0.3"/>
</x:worksheet>
</file>

<file path=xl/worksheets/sheet6.xml><?xml version="1.0" encoding="utf-8"?>
<x:worksheet xmlns:x="http://schemas.openxmlformats.org/spreadsheetml/2006/main">
  <x:sheetPr>
    <x:tabColor rgb="FF142D46"/>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Walkthrough | from history to forecast</x:v>
      </x:c>
      <x:c r="C2" s="5"/>
      <x:c r="D2" s="5"/>
      <x:c r="E2" s="5"/>
      <x:c r="F2" s="5"/>
      <x:c r="G2" s="5"/>
      <x:c r="H2" s="2"/>
      <x:c r="I2" s="2"/>
      <x:c r="J2" s="2"/>
    </x:row>
    <x:row r="3" ht="30" customHeight="1">
      <x:c r="A3" s="2"/>
      <x:c r="B3" s="8" t="str">
        <x:v>How to use the workbook • Definitions, adjustments and next modelling decisions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x:c r="D5" s="13"/>
      <x:c r="E5" s="13"/>
      <x:c r="F5" s="13"/>
      <x:c r="G5" s="13"/>
      <x:c r="H5" s="2"/>
      <x:c r="I5" s="2"/>
      <x:c r="J5" s="2"/>
    </x:row>
    <x:row r="6" ht="25" customHeight="1">
      <x:c r="A6" s="2"/>
      <x:c r="B6" s="17" t="str">
        <x:v>1  Read the summary</x:v>
      </x:c>
      <x:c r="C6" s="18"/>
      <x:c r="D6" s="18"/>
      <x:c r="E6" s="18"/>
      <x:c r="F6" s="18"/>
      <x:c r="G6" s="18"/>
      <x:c r="H6" s="2"/>
      <x:c r="I6" s="2"/>
      <x:c r="J6" s="2"/>
    </x:row>
    <x:row r="7" ht="68" customHeight="1">
      <x:c r="A7" s="2"/>
      <x:c r="B7" s="8" t="str">
        <x:v>Summary compares five years of revenue, profitability, cash generation, debt and EPS. Use the FY25 snapshot as the starting point, then inspect the direction and consistency of the historical results.</x:v>
      </x:c>
      <x:c r="C7" s="9"/>
      <x:c r="D7" s="9"/>
      <x:c r="E7" s="9"/>
      <x:c r="F7" s="9"/>
      <x:c r="G7" s="9"/>
      <x:c r="H7" s="2"/>
      <x:c r="I7" s="2"/>
      <x:c r="J7" s="2"/>
    </x:row>
    <x:row r="8" ht="22" customHeight="1">
      <x:c r="A8" s="2"/>
      <x:c r="B8" s="2"/>
      <x:c r="C8" s="3"/>
      <x:c r="D8" s="3"/>
      <x:c r="E8" s="3"/>
      <x:c r="F8" s="3"/>
      <x:c r="G8" s="3"/>
      <x:c r="H8" s="2"/>
      <x:c r="I8" s="2"/>
      <x:c r="J8" s="2"/>
    </x:row>
    <x:row r="9" ht="25" customHeight="1">
      <x:c r="A9" s="2"/>
      <x:c r="B9" s="17" t="str">
        <x:v>2  Trace a figure to its source</x:v>
      </x:c>
      <x:c r="C9" s="18"/>
      <x:c r="D9" s="18"/>
      <x:c r="E9" s="18"/>
      <x:c r="F9" s="18"/>
      <x:c r="G9" s="18"/>
      <x:c r="H9" s="2"/>
      <x:c r="I9" s="2"/>
      <x:c r="J9" s="2"/>
    </x:row>
    <x:row r="10" ht="68" customHeight="1">
      <x:c r="A10" s="2"/>
      <x:c r="B10" s="8" t="str">
        <x:v>The history tabs contain formulas; the input tabs contain blue source figures and a report register with page references. Green formulas link between tabs, black formulas calculate within a tab. Input amounts are crore for Torrent and lakh for JB; the latter are divided by 100.</x:v>
      </x:c>
      <x:c r="C10" s="9"/>
      <x:c r="D10" s="9"/>
      <x:c r="E10" s="9"/>
      <x:c r="F10" s="9"/>
      <x:c r="G10" s="9"/>
      <x:c r="H10" s="2"/>
      <x:c r="I10" s="2"/>
      <x:c r="J10" s="2"/>
    </x:row>
    <x:row r="11" ht="22" customHeight="1">
      <x:c r="A11" s="2"/>
      <x:c r="B11" s="2"/>
      <x:c r="C11" s="3"/>
      <x:c r="D11" s="3"/>
      <x:c r="E11" s="3"/>
      <x:c r="F11" s="3"/>
      <x:c r="G11" s="3"/>
      <x:c r="H11" s="2"/>
      <x:c r="I11" s="2"/>
      <x:c r="J11" s="2"/>
    </x:row>
    <x:row r="12" ht="25" customHeight="1">
      <x:c r="A12" s="2"/>
      <x:c r="B12" s="17" t="str">
        <x:v>3  Understand EBITDA</x:v>
      </x:c>
      <x:c r="C12" s="18"/>
      <x:c r="D12" s="18"/>
      <x:c r="E12" s="18"/>
      <x:c r="F12" s="18"/>
      <x:c r="G12" s="18"/>
      <x:c r="H12" s="2"/>
      <x:c r="I12" s="2"/>
      <x:c r="J12" s="2"/>
    </x:row>
    <x:row r="13" ht="68" customHeight="1">
      <x:c r="A13" s="2"/>
      <x:c r="B13" s="8" t="str">
        <x:v>Revenue minus COGS, employee expense and other operating expenses gives operating EBITDA. It excludes other income. JB’s before-ESOP EBITDA adds back share-based compensation; FY25 is about INR 1,086.7 crore, versus INR 1,031.8 crore after ESOP. Retain both when comparing management’s presentation with earnings attributable to shareholders.</x:v>
      </x:c>
      <x:c r="C13" s="9"/>
      <x:c r="D13" s="9"/>
      <x:c r="E13" s="9"/>
      <x:c r="F13" s="9"/>
      <x:c r="G13" s="9"/>
      <x:c r="H13" s="2"/>
      <x:c r="I13" s="2"/>
      <x:c r="J13" s="2"/>
    </x:row>
    <x:row r="14" ht="22" customHeight="1">
      <x:c r="A14" s="2"/>
      <x:c r="B14" s="2"/>
      <x:c r="C14" s="3"/>
      <x:c r="D14" s="3"/>
      <x:c r="E14" s="3"/>
      <x:c r="F14" s="3"/>
      <x:c r="G14" s="3"/>
      <x:c r="H14" s="2"/>
      <x:c r="I14" s="2"/>
      <x:c r="J14" s="2"/>
    </x:row>
    <x:row r="15" ht="25" customHeight="1">
      <x:c r="A15" s="2"/>
      <x:c r="B15" s="17" t="str">
        <x:v>4  Read the cash-flow bridge</x:v>
      </x:c>
      <x:c r="C15" s="18"/>
      <x:c r="D15" s="18"/>
      <x:c r="E15" s="18"/>
      <x:c r="F15" s="18"/>
      <x:c r="G15" s="18"/>
      <x:c r="H15" s="2"/>
      <x:c r="I15" s="2"/>
      <x:c r="J15" s="2"/>
    </x:row>
    <x:row r="16" ht="68" customHeight="1">
      <x:c r="A16" s="2"/>
      <x:c r="B16" s="8" t="str">
        <x:v>Operating cash flow minus cash purchases of PPE and intangibles gives cash flow after capex. Business purchases are deducted separately. These figures are after cash taxes and reflect the cash-flow statement’s interest classification; they are not unlevered free cash flow for a DCF.</x:v>
      </x:c>
      <x:c r="C16" s="9"/>
      <x:c r="D16" s="9"/>
      <x:c r="E16" s="9"/>
      <x:c r="F16" s="9"/>
      <x:c r="G16" s="9"/>
      <x:c r="H16" s="2"/>
      <x:c r="I16" s="2"/>
      <x:c r="J16" s="2"/>
    </x:row>
    <x:row r="17" ht="22" customHeight="1">
      <x:c r="A17" s="2"/>
      <x:c r="B17" s="2"/>
      <x:c r="C17" s="3"/>
      <x:c r="D17" s="3"/>
      <x:c r="E17" s="3"/>
      <x:c r="F17" s="3"/>
      <x:c r="G17" s="3"/>
      <x:c r="H17" s="2"/>
      <x:c r="I17" s="2"/>
      <x:c r="J17" s="2"/>
    </x:row>
    <x:row r="18" ht="25" customHeight="1">
      <x:c r="A18" s="2"/>
      <x:c r="B18" s="17" t="str">
        <x:v>5  Separate brand investment from recurring capex</x:v>
      </x:c>
      <x:c r="C18" s="18"/>
      <x:c r="D18" s="18"/>
      <x:c r="E18" s="18"/>
      <x:c r="F18" s="18"/>
      <x:c r="G18" s="18"/>
      <x:c r="H18" s="2"/>
      <x:c r="I18" s="2"/>
      <x:c r="J18" s="2"/>
    </x:row>
    <x:row r="19" ht="68" customHeight="1">
      <x:c r="A19" s="2"/>
      <x:c r="B19" s="8" t="str">
        <x:v>JB’s FY22 and FY23 intangible payments were about INR 643.9 crore and INR 692.4 crore. They include acquired brands and should not be extrapolated wholesale as maintenance capex. Torrent’s capex line combines PPE and intangibles; the separate intangible line is zero to avoid duplication. Curatio is a separate FY23 business payment.</x:v>
      </x:c>
      <x:c r="C19" s="9"/>
      <x:c r="D19" s="9"/>
      <x:c r="E19" s="9"/>
      <x:c r="F19" s="9"/>
      <x:c r="G19" s="9"/>
      <x:c r="H19" s="2"/>
      <x:c r="I19" s="2"/>
      <x:c r="J19" s="2"/>
    </x:row>
    <x:row r="20" ht="22" customHeight="1">
      <x:c r="A20" s="2"/>
      <x:c r="B20" s="2"/>
      <x:c r="C20" s="3"/>
      <x:c r="D20" s="3"/>
      <x:c r="E20" s="3"/>
      <x:c r="F20" s="3"/>
      <x:c r="G20" s="3"/>
      <x:c r="H20" s="2"/>
      <x:c r="I20" s="2"/>
      <x:c r="J20" s="2"/>
    </x:row>
    <x:row r="21" ht="25" customHeight="1">
      <x:c r="A21" s="2"/>
      <x:c r="B21" s="17" t="str">
        <x:v>6  Use a consistent debt definition</x:v>
      </x:c>
      <x:c r="C21" s="18"/>
      <x:c r="D21" s="18"/>
      <x:c r="E21" s="18"/>
      <x:c r="F21" s="18"/>
      <x:c r="G21" s="18"/>
      <x:c r="H21" s="2"/>
      <x:c r="I21" s="2"/>
      <x:c r="J21" s="2"/>
    </x:row>
    <x:row r="22" ht="68" customHeight="1">
      <x:c r="A22" s="2"/>
      <x:c r="B22" s="8" t="str">
        <x:v>Net debt here equals borrowings less cash and selected current financial investments; lease liabilities are shown separately. Other bank balances and non-current deposits are excluded. JB FY25 includes INR 250.4 crore of non-current deposits and INR 14.4 crore of other bank balances outside this measure; restrictions and other adjustments must be checked before a transaction cash bridge.</x:v>
      </x:c>
      <x:c r="C22" s="9"/>
      <x:c r="D22" s="9"/>
      <x:c r="E22" s="9"/>
      <x:c r="F22" s="9"/>
      <x:c r="G22" s="9"/>
      <x:c r="H22" s="2"/>
      <x:c r="I22" s="2"/>
      <x:c r="J22" s="2"/>
    </x:row>
    <x:row r="23" ht="22" customHeight="1">
      <x:c r="A23" s="2"/>
      <x:c r="B23" s="2"/>
      <x:c r="C23" s="3"/>
      <x:c r="D23" s="3"/>
      <x:c r="E23" s="3"/>
      <x:c r="F23" s="3"/>
      <x:c r="G23" s="3"/>
      <x:c r="H23" s="2"/>
      <x:c r="I23" s="2"/>
      <x:c r="J23" s="2"/>
    </x:row>
    <x:row r="24" ht="25" customHeight="1">
      <x:c r="A24" s="2"/>
      <x:c r="B24" s="17" t="str">
        <x:v>7  Check shares and per-share earnings</x:v>
      </x:c>
      <x:c r="C24" s="18"/>
      <x:c r="D24" s="18"/>
      <x:c r="E24" s="18"/>
      <x:c r="F24" s="18"/>
      <x:c r="G24" s="18"/>
      <x:c r="H24" s="2"/>
      <x:c r="I24" s="2"/>
      <x:c r="J24" s="2"/>
    </x:row>
    <x:row r="25" ht="68" customHeight="1">
      <x:c r="A25" s="2"/>
      <x:c r="B25" s="8" t="str">
        <x:v>Torrent’s 1:1 bonus and JB’s 1:2 share split are reflected in FY25-basis share counts. FY22 Torrent weighted-average shares are already restated in the FY23 report, while closing shares still require adjustment. EPS uses PAT attributable to owners divided by weighted-average shares, not the year-end count.</x:v>
      </x:c>
      <x:c r="C25" s="9"/>
      <x:c r="D25" s="9"/>
      <x:c r="E25" s="9"/>
      <x:c r="F25" s="9"/>
      <x:c r="G25" s="9"/>
      <x:c r="H25" s="2"/>
      <x:c r="I25" s="2"/>
      <x:c r="J25" s="2"/>
    </x:row>
    <x:row r="26" ht="22" customHeight="1">
      <x:c r="A26" s="2"/>
      <x:c r="B26" s="2"/>
      <x:c r="C26" s="3"/>
      <x:c r="D26" s="3"/>
      <x:c r="E26" s="3"/>
      <x:c r="F26" s="3"/>
      <x:c r="G26" s="3"/>
      <x:c r="H26" s="2"/>
      <x:c r="I26" s="2"/>
      <x:c r="J26" s="2"/>
    </x:row>
    <x:row r="27" ht="25" customHeight="1">
      <x:c r="A27" s="2"/>
      <x:c r="B27" s="17" t="str">
        <x:v>8  Interpret working capital</x:v>
      </x:c>
      <x:c r="C27" s="18"/>
      <x:c r="D27" s="18"/>
      <x:c r="E27" s="18"/>
      <x:c r="F27" s="18"/>
      <x:c r="G27" s="18"/>
      <x:c r="H27" s="2"/>
      <x:c r="I27" s="2"/>
      <x:c r="J27" s="2"/>
    </x:row>
    <x:row r="28" ht="68" customHeight="1">
      <x:c r="A28" s="2"/>
      <x:c r="B28" s="8" t="str">
        <x:v>Trade working capital = inventories + trade receivables − trade payables. Receivable days use revenue; inventory and payable days use a material-cost COGS proxy that excludes labour and production overheads. All use closing balances and 365 days. Seasonality and acquisitions can distort comparisons; forecasts may need additional operating assets and liabilities.</x:v>
      </x:c>
      <x:c r="C28" s="9"/>
      <x:c r="D28" s="9"/>
      <x:c r="E28" s="9"/>
      <x:c r="F28" s="9"/>
      <x:c r="G28" s="9"/>
      <x:c r="H28" s="2"/>
      <x:c r="I28" s="2"/>
      <x:c r="J28" s="2"/>
    </x:row>
    <x:row r="29" ht="22" customHeight="1">
      <x:c r="A29" s="2"/>
      <x:c r="B29" s="2"/>
      <x:c r="C29" s="3"/>
      <x:c r="D29" s="3"/>
      <x:c r="E29" s="3"/>
      <x:c r="F29" s="3"/>
      <x:c r="G29" s="3"/>
      <x:c r="H29" s="2"/>
      <x:c r="I29" s="2"/>
      <x:c r="J29" s="2"/>
    </x:row>
    <x:row r="30" ht="25" customHeight="1">
      <x:c r="A30" s="2"/>
      <x:c r="B30" s="17" t="str">
        <x:v>9  Keep the case date intact</x:v>
      </x:c>
      <x:c r="C30" s="18"/>
      <x:c r="D30" s="18"/>
      <x:c r="E30" s="18"/>
      <x:c r="F30" s="18"/>
      <x:c r="G30" s="18"/>
      <x:c r="H30" s="2"/>
      <x:c r="I30" s="2"/>
      <x:c r="J30" s="2"/>
    </x:row>
    <x:row r="31" ht="68" customHeight="1">
      <x:c r="A31" s="2"/>
      <x:c r="B31" s="8" t="str">
        <x:v>This is a pre-deal historical baseline anchored to 29 June 2025. FY25 statements were approved in May 2025; later annual reports reconcile historical disclosures. Later deal outcomes and FY26 operating performance are excluded. The companies are modelled on a consolidated, pre-merger basis.</x:v>
      </x:c>
      <x:c r="C31" s="9"/>
      <x:c r="D31" s="9"/>
      <x:c r="E31" s="9"/>
      <x:c r="F31" s="9"/>
      <x:c r="G31" s="9"/>
      <x:c r="H31" s="2"/>
      <x:c r="I31" s="2"/>
      <x:c r="J31" s="2"/>
    </x:row>
    <x:row r="32" ht="22" customHeight="1">
      <x:c r="A32" s="2"/>
      <x:c r="B32" s="2"/>
      <x:c r="C32" s="3"/>
      <x:c r="D32" s="3"/>
      <x:c r="E32" s="3"/>
      <x:c r="F32" s="3"/>
      <x:c r="G32" s="3"/>
      <x:c r="H32" s="2"/>
      <x:c r="I32" s="2"/>
      <x:c r="J32" s="2"/>
    </x:row>
    <x:row r="33" ht="25" customHeight="1">
      <x:c r="A33" s="2"/>
      <x:c r="B33" s="17" t="str">
        <x:v>10  Understand the checks</x:v>
      </x:c>
      <x:c r="C33" s="18"/>
      <x:c r="D33" s="18"/>
      <x:c r="E33" s="18"/>
      <x:c r="F33" s="18"/>
      <x:c r="G33" s="18"/>
      <x:c r="H33" s="2"/>
      <x:c r="I33" s="2"/>
      <x:c r="J33" s="2"/>
    </x:row>
    <x:row r="34" ht="68" customHeight="1">
      <x:c r="A34" s="2"/>
      <x:c r="B34" s="8" t="str">
        <x:v>Each history tab reconciles PBT, PAT, the balance sheet, the cash-flow bridge, balance-sheet cash and EPS. PASS permits source rounding of under INR 0.02 crore and INR 0.01 per share. FY21 JB cash-flow cash is net of overdraft; the separate bridge restores balance-sheet cash.</x:v>
      </x:c>
      <x:c r="C34" s="9"/>
      <x:c r="D34" s="9"/>
      <x:c r="E34" s="9"/>
      <x:c r="F34" s="9"/>
      <x:c r="G34" s="9"/>
      <x:c r="H34" s="2"/>
      <x:c r="I34" s="2"/>
      <x:c r="J34" s="2"/>
    </x:row>
    <x:row r="35" ht="22" customHeight="1">
      <x:c r="A35" s="2"/>
      <x:c r="B35" s="2"/>
      <x:c r="C35" s="3"/>
      <x:c r="D35" s="3"/>
      <x:c r="E35" s="3"/>
      <x:c r="F35" s="3"/>
      <x:c r="G35" s="3"/>
      <x:c r="H35" s="2"/>
      <x:c r="I35" s="2"/>
      <x:c r="J35" s="2"/>
    </x:row>
    <x:row r="36" ht="25" customHeight="1">
      <x:c r="A36" s="2"/>
      <x:c r="B36" s="17" t="str">
        <x:v>11  Use the standalone forecasts</x:v>
      </x:c>
      <x:c r="C36" s="18"/>
      <x:c r="D36" s="18"/>
      <x:c r="E36" s="18"/>
      <x:c r="F36" s="18"/>
      <x:c r="G36" s="18"/>
      <x:c r="H36" s="2"/>
      <x:c r="I36" s="2"/>
      <x:c r="J36" s="2"/>
    </x:row>
    <x:row r="37" ht="68" customHeight="1">
      <x:c r="A37" s="2"/>
      <x:c r="B37" s="8" t="str">
        <x:v>Step 3 is now included in Forecast summary, Assumptions and the two forecast tabs. Review the scenario drivers before adding transaction funding, open-offer take-up, cash/share consideration, synergies, purchase-price accounting and EPS accretion. The original historical figures remain the starting point.</x:v>
      </x:c>
      <x:c r="C37" s="9"/>
      <x:c r="D37" s="9"/>
      <x:c r="E37" s="9"/>
      <x:c r="F37" s="9"/>
      <x:c r="G37" s="9"/>
      <x:c r="H37" s="2"/>
      <x:c r="I37" s="2"/>
      <x:c r="J37" s="2"/>
    </x:row>
    <x:row r="38" ht="22" customHeight="1">
      <x:c r="A38" s="2"/>
      <x:c r="B38" s="2"/>
      <x:c r="C38" s="3"/>
      <x:c r="D38" s="3"/>
      <x:c r="E38" s="3"/>
      <x:c r="F38" s="3"/>
      <x:c r="G38" s="3"/>
      <x:c r="H38" s="2"/>
      <x:c r="I38" s="2"/>
      <x:c r="J38" s="2"/>
    </x:row>
    <x:row r="39" ht="25" customHeight="1">
      <x:c r="A39" s="2"/>
      <x:c r="B39" s="17" t="str">
        <x:v>Repository use</x:v>
      </x:c>
      <x:c r="C39" s="18"/>
      <x:c r="D39" s="18"/>
      <x:c r="E39" s="18"/>
      <x:c r="F39" s="18"/>
      <x:c r="G39" s="18"/>
      <x:c r="H39" s="2"/>
      <x:c r="I39" s="2"/>
      <x:c r="J39" s="2"/>
    </x:row>
    <x:row r="40" ht="68" customHeight="1">
      <x:c r="A40" s="2"/>
      <x:c r="B40" s="8" t="str">
        <x:v>Upload the .xlsx alongside the research pack. It contains no macros and no external workbook links; sources are public report URLs. Native charts and formulas remain editable. Treat the input tabs as the factual record and preserve this historical version when adding forecast assumptions.</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x:row>
    <x:row r="44" ht="25" customHeight="1">
      <x:c r="A44" s="2"/>
      <x:c r="B44" s="48" t="str">
        <x:v>Step 3: choose a scenario</x:v>
      </x:c>
      <x:c r="C44" s="49"/>
      <x:c r="D44" s="49"/>
      <x:c r="E44" s="49"/>
      <x:c r="F44" s="49"/>
      <x:c r="G44" s="49"/>
      <x:c r="H44" s="2"/>
      <x:c r="I44" s="2"/>
      <x:c r="J44" s="2"/>
    </x:row>
    <x:row r="45" ht="63" customHeight="1">
      <x:c r="A45" s="2"/>
      <x:c r="B45" s="8" t="str">
        <x:v>Open Forecast summary, then Assumptions. C4 is the only scenario selector: 1 Base, 2 Upside, 3 Downside. Each driver has an active row followed by editable annual rates for all three cases.</x:v>
      </x:c>
      <x:c r="C45" s="9"/>
      <x:c r="D45" s="9"/>
      <x:c r="E45" s="9"/>
      <x:c r="F45" s="9"/>
      <x:c r="G45" s="9"/>
      <x:c r="H45" s="2"/>
      <x:c r="I45" s="2"/>
      <x:c r="J45" s="2"/>
    </x:row>
    <x:row r="46" ht="22" customHeight="1">
      <x:c r="A46" s="2"/>
      <x:c r="B46" s="2"/>
      <x:c r="C46" s="3"/>
      <x:c r="D46" s="3"/>
      <x:c r="E46" s="3"/>
      <x:c r="F46" s="3"/>
      <x:c r="G46" s="3"/>
      <x:c r="H46" s="2"/>
      <x:c r="I46" s="2"/>
      <x:c r="J46" s="2"/>
    </x:row>
    <x:row r="47" ht="25" customHeight="1">
      <x:c r="A47" s="2"/>
      <x:c r="B47" s="48" t="str">
        <x:v>Read the operating forecasts</x:v>
      </x:c>
      <x:c r="C47" s="49"/>
      <x:c r="D47" s="49"/>
      <x:c r="E47" s="49"/>
      <x:c r="F47" s="49"/>
      <x:c r="G47" s="49"/>
      <x:c r="H47" s="2"/>
      <x:c r="I47" s="2"/>
      <x:c r="J47" s="2"/>
    </x:row>
    <x:row r="48" ht="63" customHeight="1">
      <x:c r="A48" s="2"/>
      <x:c r="B48" s="8" t="str">
        <x:v>India and international revenues grow from FY25. JB CDMO is separate and removed from international revenue. EBITDA is revenue × margin; D&amp;A and taxes lead to net operating profit after tax.</x:v>
      </x:c>
      <x:c r="C48" s="9"/>
      <x:c r="D48" s="9"/>
      <x:c r="E48" s="9"/>
      <x:c r="F48" s="9"/>
      <x:c r="G48" s="9"/>
      <x:c r="H48" s="2"/>
      <x:c r="I48" s="2"/>
      <x:c r="J48" s="2"/>
    </x:row>
    <x:row r="49" ht="22" customHeight="1">
      <x:c r="A49" s="2"/>
      <x:c r="B49" s="2"/>
      <x:c r="C49" s="3"/>
      <x:c r="D49" s="3"/>
      <x:c r="E49" s="3"/>
      <x:c r="F49" s="3"/>
      <x:c r="G49" s="3"/>
      <x:c r="H49" s="2"/>
      <x:c r="I49" s="2"/>
      <x:c r="J49" s="2"/>
    </x:row>
    <x:row r="50" ht="25" customHeight="1">
      <x:c r="A50" s="2"/>
      <x:c r="B50" s="48" t="str">
        <x:v>Read cash generation</x:v>
      </x:c>
      <x:c r="C50" s="49"/>
      <x:c r="D50" s="49"/>
      <x:c r="E50" s="49"/>
      <x:c r="F50" s="49"/>
      <x:c r="G50" s="49"/>
      <x:c r="H50" s="2"/>
      <x:c r="I50" s="2"/>
      <x:c r="J50" s="2"/>
    </x:row>
    <x:row r="51" ht="63" customHeight="1">
      <x:c r="A51" s="2"/>
      <x:c r="B51" s="8" t="str">
        <x:v>Capex and closing trade working capital are projected from revenue ratios. The first forecast year deducts the change from actual FY25 working capital. Subsequent years use the prior forecast balance.</x:v>
      </x:c>
      <x:c r="C51" s="9"/>
      <x:c r="D51" s="9"/>
      <x:c r="E51" s="9"/>
      <x:c r="F51" s="9"/>
      <x:c r="G51" s="9"/>
      <x:c r="H51" s="2"/>
      <x:c r="I51" s="2"/>
      <x:c r="J51" s="2"/>
    </x:row>
    <x:row r="52" ht="22" customHeight="1">
      <x:c r="A52" s="2"/>
      <x:c r="B52" s="2"/>
      <x:c r="C52" s="3"/>
      <x:c r="D52" s="3"/>
      <x:c r="E52" s="3"/>
      <x:c r="F52" s="3"/>
      <x:c r="G52" s="3"/>
      <x:c r="H52" s="2"/>
      <x:c r="I52" s="2"/>
      <x:c r="J52" s="2"/>
    </x:row>
    <x:row r="53" ht="25" customHeight="1">
      <x:c r="A53" s="2"/>
      <x:c r="B53" s="48" t="str">
        <x:v>Interpret the limits</x:v>
      </x:c>
      <x:c r="C53" s="49"/>
      <x:c r="D53" s="49"/>
      <x:c r="E53" s="49"/>
      <x:c r="F53" s="49"/>
      <x:c r="G53" s="49"/>
      <x:c r="H53" s="2"/>
      <x:c r="I53" s="2"/>
      <x:c r="J53" s="2"/>
    </x:row>
    <x:row r="54" ht="63" customHeight="1">
      <x:c r="A54" s="2"/>
      <x:c r="B54" s="8" t="str">
        <x:v>The free cash flow proxy is before lease financing and includes trade working capital only. D&amp;A and tax are ratio estimates. A detailed asset / tax / lease schedule and other operating balances are needed before final valuation. No financing, EPS accretion or merger synergies are assumed.</x:v>
      </x:c>
      <x:c r="C54" s="9"/>
      <x:c r="D54" s="9"/>
      <x:c r="E54" s="9"/>
      <x:c r="F54" s="9"/>
      <x:c r="G54" s="9"/>
      <x:c r="H54" s="2"/>
      <x:c r="I54" s="2"/>
      <x:c r="J54" s="2"/>
    </x:row>
    <x:row r="55" ht="22" customHeight="1">
      <x:c r="A55" s="2"/>
      <x:c r="B55" s="2"/>
      <x:c r="C55" s="3"/>
      <x:c r="D55" s="3"/>
      <x:c r="E55" s="3"/>
      <x:c r="F55" s="3"/>
      <x:c r="G55" s="3"/>
      <x:c r="H55" s="2"/>
      <x:c r="I55" s="2"/>
      <x:c r="J55" s="2"/>
    </x:row>
    <x:row r="56" ht="25" customHeight="1">
      <x:c r="A56" s="2"/>
      <x:c r="B56" s="48" t="str">
        <x:v>Prepare Step 4</x:v>
      </x:c>
      <x:c r="C56" s="49"/>
      <x:c r="D56" s="49"/>
      <x:c r="E56" s="49"/>
      <x:c r="F56" s="49"/>
      <x:c r="G56" s="49"/>
      <x:c r="H56" s="2"/>
      <x:c r="I56" s="2"/>
      <x:c r="J56" s="2"/>
    </x:row>
    <x:row r="57" ht="63" customHeight="1">
      <x:c r="A57" s="2"/>
      <x:c r="B57" s="8" t="str">
        <x:v>After reviewing the assumptions, add purchase consideration, open-offer take-up, funding, deal fees, purchase-price allocation and synergies. Keep the standalone forecasts as the benchmark for measuring value creation.</x:v>
      </x:c>
      <x:c r="C57" s="9"/>
      <x:c r="D57" s="9"/>
      <x:c r="E57" s="9"/>
      <x:c r="F57" s="9"/>
      <x:c r="G57" s="9"/>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22" customHeight="1">
      <x:c r="A61" s="2"/>
      <x:c r="B61" s="2"/>
      <x:c r="C61" s="3"/>
      <x:c r="D61" s="3"/>
      <x:c r="E61" s="3"/>
      <x:c r="F61" s="3"/>
      <x:c r="G61" s="3"/>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22" customHeight="1">
      <x:c r="A64" s="2"/>
      <x:c r="B64" s="2"/>
      <x:c r="C64" s="3"/>
      <x:c r="D64" s="3"/>
      <x:c r="E64" s="3"/>
      <x:c r="F64" s="3"/>
      <x:c r="G64" s="3"/>
      <x:c r="H64" s="2"/>
      <x:c r="I64" s="2"/>
      <x:c r="J64" s="2"/>
    </x:row>
    <x:row r="65" ht="22" customHeight="1">
      <x:c r="A65" s="2"/>
      <x:c r="B65" s="2"/>
      <x:c r="C65" s="3"/>
      <x:c r="D65" s="3"/>
      <x:c r="E65" s="3"/>
      <x:c r="F65" s="3"/>
      <x:c r="G65" s="3"/>
      <x:c r="H65" s="2"/>
      <x:c r="I65" s="2"/>
      <x:c r="J65" s="2"/>
    </x:row>
    <x:row r="66" ht="22" customHeight="1">
      <x:c r="A66" s="2"/>
      <x:c r="B66" s="2"/>
      <x:c r="C66" s="3"/>
      <x:c r="D66" s="3"/>
      <x:c r="E66" s="3"/>
      <x:c r="F66" s="3"/>
      <x:c r="G66" s="3"/>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row r="73" ht="22" customHeight="1">
      <x:c r="A73" s="2"/>
      <x:c r="B73" s="2"/>
      <x:c r="C73" s="3"/>
      <x:c r="D73" s="3"/>
      <x:c r="E73" s="3"/>
      <x:c r="F73" s="3"/>
      <x:c r="G73" s="3"/>
      <x:c r="H73" s="2"/>
      <x:c r="I73" s="2"/>
      <x:c r="J73" s="2"/>
    </x:row>
    <x:row r="74" ht="22" customHeight="1">
      <x:c r="A74" s="2"/>
      <x:c r="B74" s="2"/>
      <x:c r="C74" s="3"/>
      <x:c r="D74" s="3"/>
      <x:c r="E74" s="3"/>
      <x:c r="F74" s="3"/>
      <x:c r="G74" s="3"/>
      <x:c r="H74" s="2"/>
      <x:c r="I74" s="2"/>
      <x:c r="J74" s="2"/>
    </x:row>
    <x:row r="75" ht="22" customHeight="1">
      <x:c r="A75" s="2"/>
      <x:c r="B75" s="2"/>
      <x:c r="C75" s="3"/>
      <x:c r="D75" s="3"/>
      <x:c r="E75" s="3"/>
      <x:c r="F75" s="3"/>
      <x:c r="G75" s="3"/>
      <x:c r="H75" s="2"/>
      <x:c r="I75" s="2"/>
      <x:c r="J75" s="2"/>
    </x:row>
    <x:row r="76" ht="22" customHeight="1">
      <x:c r="A76" s="2"/>
      <x:c r="B76" s="2"/>
      <x:c r="C76" s="3"/>
      <x:c r="D76" s="3"/>
      <x:c r="E76" s="3"/>
      <x:c r="F76" s="3"/>
      <x:c r="G76" s="3"/>
      <x:c r="H76" s="2"/>
      <x:c r="I76" s="2"/>
      <x:c r="J76" s="2"/>
    </x:row>
    <x:row r="77" ht="22" customHeight="1">
      <x:c r="A77" s="2"/>
      <x:c r="B77" s="2"/>
      <x:c r="C77" s="3"/>
      <x:c r="D77" s="3"/>
      <x:c r="E77" s="3"/>
      <x:c r="F77" s="3"/>
      <x:c r="G77" s="3"/>
      <x:c r="H77" s="2"/>
      <x:c r="I77" s="2"/>
      <x:c r="J77" s="2"/>
    </x:row>
    <x:row r="78" ht="22" customHeight="1">
      <x:c r="A78" s="2"/>
      <x:c r="B78" s="2"/>
      <x:c r="C78" s="3"/>
      <x:c r="D78" s="3"/>
      <x:c r="E78" s="3"/>
      <x:c r="F78" s="3"/>
      <x:c r="G78" s="3"/>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sheetData>
  <x:mergeCells>
    <x:mergeCell ref="B2:G2"/>
    <x:mergeCell ref="B3:G3"/>
    <x:mergeCell ref="B6:G6"/>
    <x:mergeCell ref="B7:G7"/>
    <x:mergeCell ref="B9:G9"/>
    <x:mergeCell ref="B10:G10"/>
    <x:mergeCell ref="B12:G12"/>
    <x:mergeCell ref="B13:G13"/>
    <x:mergeCell ref="B15:G15"/>
    <x:mergeCell ref="B16:G16"/>
    <x:mergeCell ref="B18:G18"/>
    <x:mergeCell ref="B19:G19"/>
    <x:mergeCell ref="B21:G21"/>
    <x:mergeCell ref="B22:G22"/>
    <x:mergeCell ref="B24:G24"/>
    <x:mergeCell ref="B25:G25"/>
    <x:mergeCell ref="B27:G27"/>
    <x:mergeCell ref="B28:G28"/>
    <x:mergeCell ref="B30:G30"/>
    <x:mergeCell ref="B31:G31"/>
    <x:mergeCell ref="B33:G33"/>
    <x:mergeCell ref="B34:G34"/>
    <x:mergeCell ref="B36:G36"/>
    <x:mergeCell ref="B37:G37"/>
    <x:mergeCell ref="B39:G39"/>
    <x:mergeCell ref="B40:G40"/>
    <x:mergeCell ref="B44:G44"/>
    <x:mergeCell ref="B45:G45"/>
    <x:mergeCell ref="B47:G47"/>
    <x:mergeCell ref="B48:G48"/>
    <x:mergeCell ref="B50:G50"/>
    <x:mergeCell ref="B51:G51"/>
    <x:mergeCell ref="B53:G53"/>
    <x:mergeCell ref="B54:G54"/>
    <x:mergeCell ref="B56:G56"/>
    <x:mergeCell ref="B57:G57"/>
  </x:mergeCells>
  <x:pageMargins left="0.7" right="0.7" top="0.75" bottom="0.75" header="0.3" footer="0.3"/>
</x:worksheet>
</file>

<file path=xl/worksheets/sheet7.xml><?xml version="1.0" encoding="utf-8"?>
<x:worksheet xmlns:x="http://schemas.openxmlformats.org/spreadsheetml/2006/main">
  <x:sheetPr>
    <x:tabColor rgb="FF067A81"/>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18" hidden="0" customWidth="1"/>
    <x:col min="11" max="11" width="18" hidden="0" customWidth="1"/>
    <x:col min="12" max="12" width="18"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Torrent Pharma × JB Pharma forecasts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TORRENT</x:v>
      </x:c>
      <x:c r="C6" s="62"/>
      <x:c r="D6" s="62"/>
      <x:c r="E6" s="62"/>
      <x:c r="F6" s="62"/>
      <x:c r="G6" s="62"/>
      <x:c r="H6" s="62"/>
      <x:c r="I6" s="2"/>
      <x:c r="J6" s="2"/>
    </x:row>
    <x:row r="7" ht="22" customHeight="1">
      <x:c r="A7" s="2"/>
      <x:c r="B7" s="38" t="str">
        <x:v>Revenue</x:v>
      </x:c>
      <x:c r="C7" s="41" t="n">
        <x:f>'Torrent forecast'!C13</x:f>
        <x:v>11516.09</x:v>
      </x:c>
      <x:c r="D7" s="41" t="n">
        <x:f>'Torrent forecast'!D13</x:f>
        <x:v>12577.936300000001</x:v>
      </x:c>
      <x:c r="E7" s="41" t="n">
        <x:f>'Torrent forecast'!E13</x:f>
        <x:v>13742.241041000001</x:v>
      </x:c>
      <x:c r="F7" s="41" t="n">
        <x:f>'Torrent forecast'!F13</x:f>
        <x:v>14940.502372870003</x:v>
      </x:c>
      <x:c r="G7" s="41" t="n">
        <x:f>'Torrent forecast'!G13</x:f>
        <x:v>16183.512388442205</x:v>
      </x:c>
      <x:c r="H7" s="41" t="n">
        <x:f>'Torrent forecast'!H13</x:f>
        <x:v>17440.451527138735</x:v>
      </x:c>
      <x:c r="I7" s="2"/>
      <x:c r="J7" s="2"/>
    </x:row>
    <x:row r="8" ht="22" customHeight="1">
      <x:c r="A8" s="2"/>
      <x:c r="B8" s="2" t="str">
        <x:v>Revenue growth</x:v>
      </x:c>
      <x:c r="C8" s="29" t="n">
        <x:f>'Torrent forecast'!C14</x:f>
        <x:v>0.07347704663753385</x:v>
      </x:c>
      <x:c r="D8" s="29" t="n">
        <x:f>'Torrent forecast'!D14</x:f>
        <x:v>0.09220545341344155</x:v>
      </x:c>
      <x:c r="E8" s="29" t="n">
        <x:f>'Torrent forecast'!E14</x:f>
        <x:v>0.0925672314781878</x:v>
      </x:c>
      <x:c r="F8" s="29" t="n">
        <x:f>'Torrent forecast'!F14</x:f>
        <x:v>0.08719548203928218</x:v>
      </x:c>
      <x:c r="G8" s="29" t="n">
        <x:f>'Torrent forecast'!G14</x:f>
        <x:v>0.0831973373150654</x:v>
      </x:c>
      <x:c r="H8" s="29" t="n">
        <x:f>'Torrent forecast'!H14</x:f>
        <x:v>0.07766788250455448</x:v>
      </x:c>
      <x:c r="I8" s="2"/>
      <x:c r="J8" s="2"/>
    </x:row>
    <x:row r="9" ht="22" customHeight="1">
      <x:c r="A9" s="2"/>
      <x:c r="B9" s="38" t="str">
        <x:v>Operating EBITDA</x:v>
      </x:c>
      <x:c r="C9" s="41" t="n">
        <x:f>'Torrent forecast'!C18</x:f>
        <x:v>3720.9900000000007</x:v>
      </x:c>
      <x:c r="D9" s="41" t="n">
        <x:f>'Torrent forecast'!D18</x:f>
        <x:v>4087.8292975000004</x:v>
      </x:c>
      <x:c r="E9" s="41" t="n">
        <x:f>'Torrent forecast'!E18</x:f>
        <x:v>4534.93954353</x:v>
      </x:c>
      <x:c r="F9" s="41" t="n">
        <x:f>'Torrent forecast'!F18</x:f>
        <x:v>5005.068294911452</x:v>
      </x:c>
      <x:c r="G9" s="41" t="n">
        <x:f>'Torrent forecast'!G18</x:f>
        <x:v>5502.39421207035</x:v>
      </x:c>
      <x:c r="H9" s="41" t="n">
        <x:f>'Torrent forecast'!H18</x:f>
        <x:v>6016.955776862863</x:v>
      </x:c>
      <x:c r="I9" s="2"/>
      <x:c r="J9" s="2"/>
    </x:row>
    <x:row r="10" ht="22" customHeight="1">
      <x:c r="A10" s="2"/>
      <x:c r="B10" s="2" t="str">
        <x:v>Operating EBITDA margin</x:v>
      </x:c>
      <x:c r="C10" s="29" t="n">
        <x:f>'Torrent forecast'!C17</x:f>
        <x:v>0.3231122716130215</x:v>
      </x:c>
      <x:c r="D10" s="29" t="n">
        <x:f>'Torrent forecast'!D17</x:f>
        <x:v>0.325</x:v>
      </x:c>
      <x:c r="E10" s="29" t="n">
        <x:f>'Torrent forecast'!E17</x:f>
        <x:v>0.33</x:v>
      </x:c>
      <x:c r="F10" s="29" t="n">
        <x:f>'Torrent forecast'!F17</x:f>
        <x:v>0.335</x:v>
      </x:c>
      <x:c r="G10" s="29" t="n">
        <x:f>'Torrent forecast'!G17</x:f>
        <x:v>0.34</x:v>
      </x:c>
      <x:c r="H10" s="29" t="n">
        <x:f>'Torrent forecast'!H17</x:f>
        <x:v>0.345</x:v>
      </x:c>
      <x:c r="I10" s="2"/>
      <x:c r="J10" s="2"/>
    </x:row>
    <x:row r="11" ht="22" customHeight="1">
      <x:c r="A11" s="2"/>
      <x:c r="B11" s="2" t="str">
        <x:v>Operating EBIT</x:v>
      </x:c>
      <x:c r="C11" s="3" t="n">
        <x:f>'Torrent forecast'!C21</x:f>
        <x:v>2926.060000000001</x:v>
      </x:c>
      <x:c r="D11" s="3" t="n">
        <x:f>'Torrent forecast'!D21</x:f>
        <x:v>3232.5296291000004</x:v>
      </x:c>
      <x:c r="E11" s="3" t="n">
        <x:f>'Torrent forecast'!E21</x:f>
        <x:v>3641.6938758650003</x:v>
      </x:c>
      <x:c r="F11" s="3" t="n">
        <x:f>'Torrent forecast'!F21</x:f>
        <x:v>4078.7571477935116</x:v>
      </x:c>
      <x:c r="G11" s="3" t="n">
        <x:f>'Torrent forecast'!G21</x:f>
        <x:v>4531.383468763817</x:v>
      </x:c>
      <x:c r="H11" s="3" t="n">
        <x:f>'Torrent forecast'!H21</x:f>
        <x:v>5005.409588288816</x:v>
      </x:c>
      <x:c r="I11" s="2"/>
      <x:c r="J11" s="2"/>
    </x:row>
    <x:row r="12" ht="22" customHeight="1">
      <x:c r="A12" s="2"/>
      <x:c r="B12" s="2" t="str">
        <x:v>Net operating profit after tax</x:v>
      </x:c>
      <x:c r="C12" s="3" t="n">
        <x:f>'Torrent forecast'!C24</x:f>
        <x:v>2092.341833126935</x:v>
      </x:c>
      <x:c r="D12" s="3" t="n">
        <x:f>'Torrent forecast'!D24</x:f>
        <x:v>2327.4213329520003</x:v>
      </x:c>
      <x:c r="E12" s="3" t="n">
        <x:f>'Torrent forecast'!E24</x:f>
        <x:v>2622.0195906228</x:v>
      </x:c>
      <x:c r="F12" s="3" t="n">
        <x:f>'Torrent forecast'!F24</x:f>
        <x:v>2936.7051464113283</x:v>
      </x:c>
      <x:c r="G12" s="3" t="n">
        <x:f>'Torrent forecast'!G24</x:f>
        <x:v>3262.5960975099483</x:v>
      </x:c>
      <x:c r="H12" s="3" t="n">
        <x:f>'Torrent forecast'!H24</x:f>
        <x:v>3603.894903567947</x:v>
      </x:c>
      <x:c r="I12" s="2"/>
      <x:c r="J12" s="2"/>
    </x:row>
    <x:row r="13" ht="22" customHeight="1">
      <x:c r="A13" s="2"/>
      <x:c r="B13" s="2" t="str">
        <x:v>Capex cash spend</x:v>
      </x:c>
      <x:c r="C13" s="3" t="n">
        <x:f>'Torrent forecast'!C39</x:f>
        <x:v>611.87</x:v>
      </x:c>
      <x:c r="D13" s="3" t="n">
        <x:f>'Torrent forecast'!D39</x:f>
        <x:v>628.8968150000001</x:v>
      </x:c>
      <x:c r="E13" s="3" t="n">
        <x:f>'Torrent forecast'!E39</x:f>
        <x:v>687.1120520500001</x:v>
      </x:c>
      <x:c r="F13" s="3" t="n">
        <x:f>'Torrent forecast'!F39</x:f>
        <x:v>717.1441138977602</x:v>
      </x:c>
      <x:c r="G13" s="3" t="n">
        <x:f>'Torrent forecast'!G39</x:f>
        <x:v>728.2580574798992</x:v>
      </x:c>
      <x:c r="H13" s="3" t="n">
        <x:f>'Torrent forecast'!H39</x:f>
        <x:v>784.8203187212431</x:v>
      </x:c>
      <x:c r="I13" s="2"/>
      <x:c r="J13" s="2"/>
    </x:row>
    <x:row r="14" ht="22" customHeight="1">
      <x:c r="A14" s="2"/>
      <x:c r="B14" s="2" t="str">
        <x:v>Trade working capital</x:v>
      </x:c>
      <x:c r="C14" s="3" t="n">
        <x:f>'Torrent forecast'!C33</x:f>
        <x:v>2587.68</x:v>
      </x:c>
      <x:c r="D14" s="3" t="n">
        <x:f>'Torrent forecast'!D33</x:f>
        <x:v>2830.035667500001</x:v>
      </x:c>
      <x:c r="E14" s="3" t="n">
        <x:f>'Torrent forecast'!E33</x:f>
        <x:v>2995.8085469380003</x:v>
      </x:c>
      <x:c r="F14" s="3" t="n">
        <x:f>'Torrent forecast'!F33</x:f>
        <x:v>3137.5054983027007</x:v>
      </x:c>
      <x:c r="G14" s="3" t="n">
        <x:f>'Torrent forecast'!G33</x:f>
        <x:v>3285.253014853768</x:v>
      </x:c>
      <x:c r="H14" s="3" t="n">
        <x:f>'Torrent forecast'!H33</x:f>
        <x:v>3400.888047792054</x:v>
      </x:c>
      <x:c r="I14" s="2"/>
      <x:c r="J14" s="2"/>
    </x:row>
    <x:row r="15" ht="22" customHeight="1">
      <x:c r="A15" s="2"/>
      <x:c r="B15" s="38" t="str">
        <x:v>Free cash flow proxy</x:v>
      </x:c>
      <x:c r="C15" s="41" t="str">
        <x:f>'Torrent forecast'!C42</x:f>
        <x:v>n/a</x:v>
      </x:c>
      <x:c r="D15" s="41" t="n">
        <x:f>'Torrent forecast'!D42</x:f>
        <x:v>2311.4685188519993</x:v>
      </x:c>
      <x:c r="E15" s="41" t="n">
        <x:f>'Torrent forecast'!E42</x:f>
        <x:v>2662.380326799801</x:v>
      </x:c>
      <x:c r="F15" s="41" t="n">
        <x:f>'Torrent forecast'!F42</x:f>
        <x:v>3004.1752282668076</x:v>
      </x:c>
      <x:c r="G15" s="41" t="n">
        <x:f>'Torrent forecast'!G42</x:f>
        <x:v>3357.6012667855143</x:v>
      </x:c>
      <x:c r="H15" s="41" t="n">
        <x:f>'Torrent forecast'!H42</x:f>
        <x:v>3714.985740482465</x:v>
      </x:c>
      <x:c r="I15" s="2"/>
      <x:c r="J15" s="2"/>
    </x:row>
    <x:row r="16" ht="22" customHeight="1">
      <x:c r="A16" s="2"/>
      <x:c r="B16" s="2" t="str">
        <x:v>Free cash flow / revenue</x:v>
      </x:c>
      <x:c r="C16" s="29" t="str">
        <x:f>'Torrent forecast'!C43</x:f>
        <x:v>n/a</x:v>
      </x:c>
      <x:c r="D16" s="29" t="n">
        <x:f>'Torrent forecast'!D43</x:f>
        <x:v>0.18377168270855362</x:v>
      </x:c>
      <x:c r="E16" s="29" t="n">
        <x:f>'Torrent forecast'!E43</x:f>
        <x:v>0.1937369835717904</x:v>
      </x:c>
      <x:c r="F16" s="29" t="n">
        <x:f>'Torrent forecast'!F43</x:f>
        <x:v>0.20107591788359117</x:v>
      </x:c>
      <x:c r="G16" s="29" t="n">
        <x:f>'Torrent forecast'!G43</x:f>
        <x:v>0.2074704913368136</x:v>
      </x:c>
      <x:c r="H16" s="29" t="n">
        <x:f>'Torrent forecast'!H43</x:f>
        <x:v>0.2130097225236199</x:v>
      </x:c>
      <x:c r="I16" s="2"/>
      <x:c r="J16" s="2"/>
    </x:row>
    <x:row r="17" ht="22" customHeight="1">
      <x:c r="A17" s="2"/>
      <x:c r="B17" s="2"/>
      <x:c r="C17" s="3"/>
      <x:c r="D17" s="3"/>
      <x:c r="E17" s="3"/>
      <x:c r="F17" s="3"/>
      <x:c r="G17" s="3"/>
      <x:c r="H17" s="3"/>
      <x:c r="I17" s="2"/>
      <x:c r="J17" s="2"/>
    </x:row>
    <x:row r="18" ht="22" customHeight="1">
      <x:c r="A18" s="2"/>
      <x:c r="B18" s="2"/>
      <x:c r="C18" s="3"/>
      <x:c r="D18" s="3"/>
      <x:c r="E18" s="3"/>
      <x:c r="F18" s="3"/>
      <x:c r="G18" s="3"/>
      <x:c r="H18" s="3"/>
      <x:c r="I18" s="2"/>
      <x:c r="J18" s="2"/>
    </x:row>
    <x:row r="19" ht="25" customHeight="1">
      <x:c r="A19" s="2"/>
      <x:c r="B19" s="61" t="str">
        <x:v>JB</x:v>
      </x:c>
      <x:c r="C19" s="62"/>
      <x:c r="D19" s="62"/>
      <x:c r="E19" s="62"/>
      <x:c r="F19" s="62"/>
      <x:c r="G19" s="62"/>
      <x:c r="H19" s="62"/>
      <x:c r="I19" s="2"/>
      <x:c r="J19" s="2"/>
    </x:row>
    <x:row r="20" ht="22" customHeight="1">
      <x:c r="A20" s="2"/>
      <x:c r="B20" s="38" t="str">
        <x:v>Revenue</x:v>
      </x:c>
      <x:c r="C20" s="41" t="n">
        <x:f>'JB forecast'!C13</x:f>
        <x:v>3917.9885999999997</x:v>
      </x:c>
      <x:c r="D20" s="41" t="n">
        <x:f>'JB forecast'!D13</x:f>
        <x:v>4367.171133</x:v>
      </x:c>
      <x:c r="E20" s="41" t="n">
        <x:f>'JB forecast'!E13</x:f>
        <x:v>4869.934916489999</x:v>
      </x:c>
      <x:c r="F20" s="41" t="n">
        <x:f>'JB forecast'!F13</x:f>
        <x:v>5384.161165564799</x:v>
      </x:c>
      <x:c r="G20" s="41" t="n">
        <x:f>'JB forecast'!G13</x:f>
        <x:v>5922.736196020528</x:v>
      </x:c>
      <x:c r="H20" s="41" t="n">
        <x:f>'JB forecast'!H13</x:f>
        <x:v>6450.743427029789</x:v>
      </x:c>
      <x:c r="I20" s="2"/>
      <x:c r="J20" s="2"/>
    </x:row>
    <x:row r="21" ht="22" customHeight="1">
      <x:c r="A21" s="2"/>
      <x:c r="B21" s="2" t="str">
        <x:v>Revenue growth</x:v>
      </x:c>
      <x:c r="C21" s="29" t="n">
        <x:f>'JB forecast'!C14</x:f>
        <x:v>0.12450686441972425</x:v>
      </x:c>
      <x:c r="D21" s="29" t="n">
        <x:f>'JB forecast'!D14</x:f>
        <x:v>0.1146462072401131</x:v>
      </x:c>
      <x:c r="E21" s="29" t="n">
        <x:f>'JB forecast'!E14</x:f>
        <x:v>0.11512344448581957</x:v>
      </x:c>
      <x:c r="F21" s="29" t="n">
        <x:f>'JB forecast'!F14</x:f>
        <x:v>0.10559201670921481</x:v>
      </x:c>
      <x:c r="G21" s="29" t="n">
        <x:f>'JB forecast'!G14</x:f>
        <x:v>0.10002951507103197</x:v>
      </x:c>
      <x:c r="H21" s="29" t="n">
        <x:f>'JB forecast'!H14</x:f>
        <x:v>0.08914920630164613</x:v>
      </x:c>
      <x:c r="I21" s="2"/>
      <x:c r="J21" s="2"/>
    </x:row>
    <x:row r="22" ht="22" customHeight="1">
      <x:c r="A22" s="2"/>
      <x:c r="B22" s="38" t="str">
        <x:v>Operating EBITDA</x:v>
      </x:c>
      <x:c r="C22" s="41" t="n">
        <x:f>'JB forecast'!C18</x:f>
        <x:v>1031.8384999999998</x:v>
      </x:c>
      <x:c r="D22" s="41" t="n">
        <x:f>'JB forecast'!D18</x:f>
        <x:v>1170.401863644</x:v>
      </x:c>
      <x:c r="E22" s="41" t="n">
        <x:f>'JB forecast'!E18</x:f>
        <x:v>1329.4922322017696</x:v>
      </x:c>
      <x:c r="F22" s="41" t="n">
        <x:f>'JB forecast'!F18</x:f>
        <x:v>1496.7968040270143</x:v>
      </x:c>
      <x:c r="G22" s="41" t="n">
        <x:f>'JB forecast'!G18</x:f>
        <x:v>1670.2116072777887</x:v>
      </x:c>
      <x:c r="H22" s="41" t="n">
        <x:f>'JB forecast'!H18</x:f>
        <x:v>1838.4618767034897</x:v>
      </x:c>
      <x:c r="I22" s="2"/>
      <x:c r="J22" s="2"/>
    </x:row>
    <x:row r="23" ht="22" customHeight="1">
      <x:c r="A23" s="2"/>
      <x:c r="B23" s="2" t="str">
        <x:v>Operating EBITDA margin</x:v>
      </x:c>
      <x:c r="C23" s="29" t="n">
        <x:f>'JB forecast'!C17</x:f>
        <x:v>0.2633592399937049</x:v>
      </x:c>
      <x:c r="D23" s="29" t="n">
        <x:f>'JB forecast'!D17</x:f>
        <x:v>0.268</x:v>
      </x:c>
      <x:c r="E23" s="29" t="n">
        <x:f>'JB forecast'!E17</x:f>
        <x:v>0.273</x:v>
      </x:c>
      <x:c r="F23" s="29" t="n">
        <x:f>'JB forecast'!F17</x:f>
        <x:v>0.278</x:v>
      </x:c>
      <x:c r="G23" s="29" t="n">
        <x:f>'JB forecast'!G17</x:f>
        <x:v>0.282</x:v>
      </x:c>
      <x:c r="H23" s="29" t="n">
        <x:f>'JB forecast'!H17</x:f>
        <x:v>0.285</x:v>
      </x:c>
      <x:c r="I23" s="2"/>
      <x:c r="J23" s="2"/>
    </x:row>
    <x:row r="24" ht="22" customHeight="1">
      <x:c r="A24" s="2"/>
      <x:c r="B24" s="2" t="str">
        <x:v>Operating EBIT</x:v>
      </x:c>
      <x:c r="C24" s="3" t="n">
        <x:f>'JB forecast'!C21</x:f>
        <x:v>860.8015999999999</x:v>
      </x:c>
      <x:c r="D24" s="3" t="n">
        <x:f>'JB forecast'!D21</x:f>
        <x:v>986.9806760580001</x:v>
      </x:c>
      <x:c r="E24" s="3" t="n">
        <x:f>'JB forecast'!E21</x:f>
        <x:v>1134.6948355421696</x:v>
      </x:c>
      <x:c r="F24" s="3" t="n">
        <x:f>'JB forecast'!F21</x:f>
        <x:v>1292.1986797355519</x:v>
      </x:c>
      <x:c r="G24" s="3" t="n">
        <x:f>'JB forecast'!G21</x:f>
        <x:v>1451.0703680250292</x:v>
      </x:c>
      <x:c r="H24" s="3" t="n">
        <x:f>'JB forecast'!H21</x:f>
        <x:v>1612.685856757447</x:v>
      </x:c>
      <x:c r="I24" s="2"/>
      <x:c r="J24" s="2"/>
    </x:row>
    <x:row r="25" ht="22" customHeight="1">
      <x:c r="A25" s="2"/>
      <x:c r="B25" s="2" t="str">
        <x:v>Net operating profit after tax</x:v>
      </x:c>
      <x:c r="C25" s="3" t="n">
        <x:f>'JB forecast'!C24</x:f>
        <x:v>639.8179437025096</x:v>
      </x:c>
      <x:c r="D25" s="3" t="n">
        <x:f>'JB forecast'!D24</x:f>
        <x:v>730.36570028292</x:v>
      </x:c>
      <x:c r="E25" s="3" t="n">
        <x:f>'JB forecast'!E24</x:f>
        <x:v>839.6741783012055</x:v>
      </x:c>
      <x:c r="F25" s="3" t="n">
        <x:f>'JB forecast'!F24</x:f>
        <x:v>956.2270230043084</x:v>
      </x:c>
      <x:c r="G25" s="3" t="n">
        <x:f>'JB forecast'!G24</x:f>
        <x:v>1073.7920723385216</x:v>
      </x:c>
      <x:c r="H25" s="3" t="n">
        <x:f>'JB forecast'!H24</x:f>
        <x:v>1193.3875340005109</x:v>
      </x:c>
      <x:c r="I25" s="2"/>
      <x:c r="J25" s="2"/>
    </x:row>
    <x:row r="26" ht="22" customHeight="1">
      <x:c r="A26" s="2"/>
      <x:c r="B26" s="2" t="str">
        <x:v>Capex cash spend</x:v>
      </x:c>
      <x:c r="C26" s="3" t="n">
        <x:f>'JB forecast'!C39</x:f>
        <x:v>120.30610000000001</x:v>
      </x:c>
      <x:c r="D26" s="3" t="n">
        <x:f>'JB forecast'!D39</x:f>
        <x:v>131.01513398999998</x:v>
      </x:c>
      <x:c r="E26" s="3" t="n">
        <x:f>'JB forecast'!E39</x:f>
        <x:v>146.09804749469995</x:v>
      </x:c>
      <x:c r="F26" s="3" t="n">
        <x:f>'JB forecast'!F39</x:f>
        <x:v>161.52483496694398</x:v>
      </x:c>
      <x:c r="G26" s="3" t="n">
        <x:f>'JB forecast'!G39</x:f>
        <x:v>177.68208588061583</x:v>
      </x:c>
      <x:c r="H26" s="3" t="n">
        <x:f>'JB forecast'!H39</x:f>
        <x:v>193.52230281089368</x:v>
      </x:c>
      <x:c r="I26" s="2"/>
      <x:c r="J26" s="2"/>
    </x:row>
    <x:row r="27" ht="22" customHeight="1">
      <x:c r="A27" s="2"/>
      <x:c r="B27" s="2" t="str">
        <x:v>Trade working capital</x:v>
      </x:c>
      <x:c r="C27" s="3" t="n">
        <x:f>'JB forecast'!C33</x:f>
        <x:v>933.617</x:v>
      </x:c>
      <x:c r="D27" s="3" t="n">
        <x:f>'JB forecast'!D33</x:f>
        <x:v>1026.285216255</x:v>
      </x:c>
      <x:c r="E27" s="3" t="n">
        <x:f>'JB forecast'!E33</x:f>
        <x:v>1120.0850307926996</x:v>
      </x:c>
      <x:c r="F27" s="3" t="n">
        <x:f>'JB forecast'!F33</x:f>
        <x:v>1211.4362622520803</x:v>
      </x:c>
      <x:c r="G27" s="3" t="n">
        <x:f>'JB forecast'!G33</x:f>
        <x:v>1308.9246993205368</x:v>
      </x:c>
      <x:c r="H27" s="3" t="n">
        <x:f>'JB forecast'!H33</x:f>
        <x:v>1386.9098368114046</x:v>
      </x:c>
      <x:c r="I27" s="2"/>
      <x:c r="J27" s="2"/>
    </x:row>
    <x:row r="28" ht="22" customHeight="1">
      <x:c r="A28" s="2"/>
      <x:c r="B28" s="38" t="str">
        <x:v>Free cash flow proxy</x:v>
      </x:c>
      <x:c r="C28" s="41" t="str">
        <x:f>'JB forecast'!C42</x:f>
        <x:v>n/a</x:v>
      </x:c>
      <x:c r="D28" s="41" t="n">
        <x:f>'JB forecast'!D42</x:f>
        <x:v>690.1035376239199</x:v>
      </x:c>
      <x:c r="E28" s="41" t="n">
        <x:f>'JB forecast'!E42</x:f>
        <x:v>794.5737129284058</x:v>
      </x:c>
      <x:c r="F28" s="41" t="n">
        <x:f>'JB forecast'!F42</x:f>
        <x:v>907.9490808694462</x:v>
      </x:c>
      <x:c r="G28" s="41" t="n">
        <x:f>'JB forecast'!G42</x:f>
        <x:v>1017.7627886422088</x:v>
      </x:c>
      <x:c r="H28" s="41" t="n">
        <x:f>'JB forecast'!H42</x:f>
        <x:v>1147.656113644792</x:v>
      </x:c>
      <x:c r="I28" s="2"/>
      <x:c r="J28" s="2"/>
    </x:row>
    <x:row r="29" ht="22" customHeight="1">
      <x:c r="A29" s="2"/>
      <x:c r="B29" s="2" t="str">
        <x:v>Free cash flow / revenue</x:v>
      </x:c>
      <x:c r="C29" s="29" t="str">
        <x:f>'JB forecast'!C43</x:f>
        <x:v>n/a</x:v>
      </x:c>
      <x:c r="D29" s="29" t="n">
        <x:f>'JB forecast'!D43</x:f>
        <x:v>0.1580207224785024</x:v>
      </x:c>
      <x:c r="E29" s="29" t="n">
        <x:f>'JB forecast'!E43</x:f>
        <x:v>0.16315900038785203</x:v>
      </x:c>
      <x:c r="F29" s="29" t="n">
        <x:f>'JB forecast'!F43</x:f>
        <x:v>0.16863334007837083</x:v>
      </x:c>
      <x:c r="G29" s="29" t="n">
        <x:f>'JB forecast'!G43</x:f>
        <x:v>0.17183996635305843</x:v>
      </x:c>
      <x:c r="H29" s="29" t="n">
        <x:f>'JB forecast'!H43</x:f>
        <x:v>0.1779106744248894</x:v>
      </x:c>
      <x:c r="I29" s="2"/>
      <x:c r="J29" s="2"/>
    </x:row>
    <x:row r="30" ht="22" customHeight="1">
      <x:c r="A30" s="2"/>
      <x:c r="B30" s="2"/>
      <x:c r="C30" s="3"/>
      <x:c r="D30" s="3"/>
      <x:c r="E30" s="3"/>
      <x:c r="F30" s="3"/>
      <x:c r="G30" s="3"/>
      <x:c r="H30" s="3"/>
      <x:c r="I30" s="2"/>
      <x:c r="J30" s="2"/>
    </x:row>
    <x:row r="31" ht="22" customHeight="1">
      <x:c r="A31" s="2"/>
      <x:c r="B31" s="2"/>
      <x:c r="C31" s="3"/>
      <x:c r="D31" s="3"/>
      <x:c r="E31" s="3"/>
      <x:c r="F31" s="3"/>
      <x:c r="G31" s="3"/>
      <x:c r="H31" s="3"/>
      <x:c r="I31" s="2"/>
      <x:c r="J31" s="2"/>
    </x:row>
    <x:row r="32" ht="25" customHeight="1">
      <x:c r="A32" s="2"/>
      <x:c r="B32" s="61" t="str">
        <x:v>FIVE-YEAR OUTPUTS FOR THE SELECTED SCENARIO</x:v>
      </x:c>
      <x:c r="C32" s="62"/>
      <x:c r="D32" s="62"/>
      <x:c r="E32" s="62"/>
      <x:c r="F32" s="62"/>
      <x:c r="G32" s="62"/>
      <x:c r="H32" s="62"/>
      <x:c r="I32" s="2"/>
      <x:c r="J32" s="2"/>
    </x:row>
    <x:row r="33" ht="22" customHeight="1">
      <x:c r="A33" s="2"/>
      <x:c r="B33" s="2"/>
      <x:c r="C33" s="3" t="str">
        <x:v>Torrent</x:v>
      </x:c>
      <x:c r="D33" s="3" t="str">
        <x:v>JB</x:v>
      </x:c>
      <x:c r="E33" s="3"/>
      <x:c r="F33" s="3"/>
      <x:c r="G33" s="3"/>
      <x:c r="H33" s="3"/>
      <x:c r="I33" s="2"/>
      <x:c r="J33" s="2"/>
    </x:row>
    <x:row r="34" ht="22" customHeight="1">
      <x:c r="A34" s="2"/>
      <x:c r="B34" s="2" t="str">
        <x:v>Revenue CAGR, FY25–FY30</x:v>
      </x:c>
      <x:c r="C34" s="29" t="n">
        <x:f>('Torrent forecast'!H13/'Torrent forecast'!C13)^(1/5)-1</x:f>
        <x:v>0.08655204828172325</x:v>
      </x:c>
      <x:c r="D34" s="29" t="n">
        <x:f>('JB forecast'!H13/'JB forecast'!C13)^(1/5)-1</x:f>
        <x:v>0.10486526439377664</x:v>
      </x:c>
      <x:c r="E34" s="3"/>
      <x:c r="F34" s="3"/>
      <x:c r="G34" s="3"/>
      <x:c r="H34" s="3"/>
      <x:c r="I34" s="2"/>
      <x:c r="J34" s="2"/>
    </x:row>
    <x:row r="35" ht="22" customHeight="1">
      <x:c r="A35" s="2"/>
      <x:c r="B35" s="2" t="str">
        <x:v>EBITDA CAGR, FY25–FY30</x:v>
      </x:c>
      <x:c r="C35" s="29" t="n">
        <x:f>('Torrent forecast'!H18/'Torrent forecast'!C18)^(1/5)-1</x:f>
        <x:v>0.10088933213915863</x:v>
      </x:c>
      <x:c r="D35" s="29" t="n">
        <x:f>('JB forecast'!H18/'JB forecast'!C18)^(1/5)-1</x:f>
        <x:v>0.12245407266682062</x:v>
      </x:c>
      <x:c r="E35" s="3"/>
      <x:c r="F35" s="3"/>
      <x:c r="G35" s="3"/>
      <x:c r="H35" s="3"/>
      <x:c r="I35" s="2"/>
      <x:c r="J35" s="2"/>
    </x:row>
    <x:row r="36" ht="22" customHeight="1">
      <x:c r="A36" s="2"/>
      <x:c r="B36" s="2" t="str">
        <x:v>Cumulative FY26–FY30 free cash flow</x:v>
      </x:c>
      <x:c r="C36" s="3" t="n">
        <x:f>'Torrent forecast'!H44</x:f>
        <x:v>15050.611081186587</x:v>
      </x:c>
      <x:c r="D36" s="3" t="n">
        <x:f>'JB forecast'!H44</x:f>
        <x:v>4558.045233708773</x:v>
      </x:c>
      <x:c r="E36" s="3"/>
      <x:c r="F36" s="3"/>
      <x:c r="G36" s="3"/>
      <x:c r="H36" s="3"/>
      <x:c r="I36" s="2"/>
      <x:c r="J36" s="2"/>
    </x:row>
    <x:row r="37" ht="22" customHeight="1">
      <x:c r="A37" s="2"/>
      <x:c r="B37" s="2"/>
      <x:c r="C37" s="3"/>
      <x:c r="D37" s="3"/>
      <x:c r="E37" s="3"/>
      <x:c r="F37" s="3"/>
      <x:c r="G37" s="3"/>
      <x:c r="H37" s="3"/>
      <x:c r="I37" s="2"/>
      <x:c r="J37" s="2"/>
    </x:row>
    <x:row r="38" ht="44" customHeight="1">
      <x:c r="A38" s="2"/>
      <x:c r="B38" s="8" t="str">
        <x:v>Change Assumptions!C4: 1 Base, 2 Upside, 3 Downside. Both forecasts and this summary recalculate. Blue cells on Assumptions are editable estimates; FY25 actuals remain fixed.</x:v>
      </x:c>
      <x:c r="C38" s="9"/>
      <x:c r="D38" s="9"/>
      <x:c r="E38" s="9"/>
      <x:c r="F38" s="9"/>
      <x:c r="G38" s="9"/>
      <x:c r="H38" s="9"/>
      <x:c r="I38" s="2"/>
      <x:c r="J38" s="2"/>
    </x:row>
    <x:row r="39" ht="44" customHeight="1">
      <x:c r="A39" s="2"/>
      <x:c r="B39" s="8" t="str">
        <x:v>Free cash flow is an operating proxy before lease financing and other non-trade operating balances. It is the starting point for valuation, with refinements described in the company forecasts.</x:v>
      </x:c>
      <x:c r="C39" s="9"/>
      <x:c r="D39" s="9"/>
      <x:c r="E39" s="9"/>
      <x:c r="F39" s="9"/>
      <x:c r="G39" s="9"/>
      <x:c r="H39" s="9"/>
      <x:c r="I39" s="2"/>
      <x:c r="J39" s="2"/>
    </x:row>
    <x:row r="40" ht="22" customHeight="1">
      <x:c r="A40" s="2"/>
      <x:c r="B40" s="2"/>
      <x:c r="C40" s="3"/>
      <x:c r="D40" s="3"/>
      <x:c r="E40" s="3"/>
      <x:c r="F40" s="3"/>
      <x:c r="G40" s="3"/>
      <x:c r="H40" s="3"/>
      <x:c r="I40" s="2"/>
      <x:c r="J40" s="2"/>
    </x:row>
    <x:row r="41" ht="22" customHeight="1">
      <x:c r="A41" s="2"/>
      <x:c r="B41" s="2"/>
      <x:c r="C41" s="3"/>
      <x:c r="D41" s="3"/>
      <x:c r="E41" s="3"/>
      <x:c r="F41" s="3"/>
      <x:c r="G41" s="3"/>
      <x:c r="H41" s="3"/>
      <x:c r="I41" s="2"/>
      <x:c r="J41" s="2"/>
    </x:row>
    <x:row r="42" ht="22" customHeight="1">
      <x:c r="A42" s="2"/>
      <x:c r="B42" s="2"/>
      <x:c r="C42" s="3"/>
      <x:c r="D42" s="3"/>
      <x:c r="E42" s="3"/>
      <x:c r="F42" s="3"/>
      <x:c r="G42" s="3"/>
      <x:c r="H42" s="3"/>
      <x:c r="I42" s="2"/>
      <x:c r="J42" s="2"/>
    </x:row>
    <x:row r="43" ht="22" customHeight="1">
      <x:c r="A43" s="2"/>
      <x:c r="B43" s="2"/>
      <x:c r="C43" s="3"/>
      <x:c r="D43" s="3"/>
      <x:c r="E43" s="3"/>
      <x:c r="F43" s="3"/>
      <x:c r="G43" s="3"/>
      <x:c r="H43" s="3"/>
      <x:c r="I43" s="2"/>
      <x:c r="J43" s="2" t="str">
        <x:v>Linked chart data</x:v>
      </x:c>
    </x:row>
    <x:row r="44" ht="22" customHeight="1">
      <x:c r="A44" s="2"/>
      <x:c r="B44" s="2"/>
      <x:c r="C44" s="3"/>
      <x:c r="D44" s="3"/>
      <x:c r="E44" s="3"/>
      <x:c r="F44" s="3"/>
      <x:c r="G44" s="3"/>
      <x:c r="H44" s="3"/>
      <x:c r="I44" s="2"/>
      <x:c r="J44" s="2" t="str">
        <x:v>Year</x:v>
      </x:c>
      <x:c r="K44" t="str">
        <x:v>Torrent FCF</x:v>
      </x:c>
      <x:c r="L44" t="str">
        <x:v>JB FCF</x:v>
      </x:c>
    </x:row>
    <x:row r="45" ht="22" customHeight="1">
      <x:c r="A45" s="2"/>
      <x:c r="B45" s="2"/>
      <x:c r="C45" s="3"/>
      <x:c r="D45" s="3"/>
      <x:c r="E45" s="3"/>
      <x:c r="F45" s="3"/>
      <x:c r="G45" s="3"/>
      <x:c r="H45" s="3"/>
      <x:c r="I45" s="2"/>
      <x:c r="J45" s="2" t="str">
        <x:v>FY26E</x:v>
      </x:c>
      <x:c r="K45" s="80" t="n">
        <x:f>'Torrent forecast'!D42</x:f>
        <x:v>2311.4685188519993</x:v>
      </x:c>
      <x:c r="L45" s="80" t="n">
        <x:f>'JB forecast'!D42</x:f>
        <x:v>690.1035376239199</x:v>
      </x:c>
    </x:row>
    <x:row r="46" ht="22" customHeight="1">
      <x:c r="A46" s="2"/>
      <x:c r="B46" s="2"/>
      <x:c r="C46" s="3"/>
      <x:c r="D46" s="3"/>
      <x:c r="E46" s="3"/>
      <x:c r="F46" s="3"/>
      <x:c r="G46" s="3"/>
      <x:c r="H46" s="3"/>
      <x:c r="I46" s="2"/>
      <x:c r="J46" s="2" t="str">
        <x:v>FY27E</x:v>
      </x:c>
      <x:c r="K46" s="80" t="n">
        <x:f>'Torrent forecast'!E42</x:f>
        <x:v>2662.380326799801</x:v>
      </x:c>
      <x:c r="L46" s="80" t="n">
        <x:f>'JB forecast'!E42</x:f>
        <x:v>794.5737129284058</x:v>
      </x:c>
    </x:row>
    <x:row r="47" ht="22" customHeight="1">
      <x:c r="A47" s="2"/>
      <x:c r="B47" s="2"/>
      <x:c r="C47" s="3"/>
      <x:c r="D47" s="3"/>
      <x:c r="E47" s="3"/>
      <x:c r="F47" s="3"/>
      <x:c r="G47" s="3"/>
      <x:c r="H47" s="3"/>
      <x:c r="I47" s="2"/>
      <x:c r="J47" s="2" t="str">
        <x:v>FY28E</x:v>
      </x:c>
      <x:c r="K47" s="80" t="n">
        <x:f>'Torrent forecast'!F42</x:f>
        <x:v>3004.1752282668076</x:v>
      </x:c>
      <x:c r="L47" s="80" t="n">
        <x:f>'JB forecast'!F42</x:f>
        <x:v>907.9490808694462</x:v>
      </x:c>
    </x:row>
    <x:row r="48" ht="22" customHeight="1">
      <x:c r="A48" s="2"/>
      <x:c r="B48" s="2"/>
      <x:c r="C48" s="3"/>
      <x:c r="D48" s="3"/>
      <x:c r="E48" s="3"/>
      <x:c r="F48" s="3"/>
      <x:c r="G48" s="3"/>
      <x:c r="H48" s="3"/>
      <x:c r="I48" s="2"/>
      <x:c r="J48" s="2" t="str">
        <x:v>FY29E</x:v>
      </x:c>
      <x:c r="K48" s="80" t="n">
        <x:f>'Torrent forecast'!G42</x:f>
        <x:v>3357.6012667855143</x:v>
      </x:c>
      <x:c r="L48" s="80" t="n">
        <x:f>'JB forecast'!G42</x:f>
        <x:v>1017.7627886422088</x:v>
      </x:c>
    </x:row>
    <x:row r="49" ht="22" customHeight="1">
      <x:c r="A49" s="2"/>
      <x:c r="B49" s="2"/>
      <x:c r="C49" s="3"/>
      <x:c r="D49" s="3"/>
      <x:c r="E49" s="3"/>
      <x:c r="F49" s="3"/>
      <x:c r="G49" s="3"/>
      <x:c r="H49" s="3"/>
      <x:c r="I49" s="2"/>
      <x:c r="J49" s="2" t="str">
        <x:v>FY30E</x:v>
      </x:c>
      <x:c r="K49" s="80" t="n">
        <x:f>'Torrent forecast'!H42</x:f>
        <x:v>3714.985740482465</x:v>
      </x:c>
      <x:c r="L49" s="80" t="n">
        <x:f>'JB forecast'!H42</x:f>
        <x:v>1147.656113644792</x:v>
      </x:c>
    </x:row>
    <x:row r="50" ht="22" customHeight="1">
      <x:c r="A50" s="2"/>
      <x:c r="B50" s="2"/>
      <x:c r="C50" s="3"/>
      <x:c r="D50" s="3"/>
      <x:c r="E50" s="3"/>
      <x:c r="F50" s="3"/>
      <x:c r="G50" s="3"/>
      <x:c r="H50" s="3"/>
      <x:c r="I50" s="2"/>
      <x:c r="J50" s="2"/>
    </x:row>
    <x:row r="51" ht="22" customHeight="1">
      <x:c r="A51" s="2"/>
      <x:c r="B51" s="2"/>
      <x:c r="C51" s="3"/>
      <x:c r="D51" s="3"/>
      <x:c r="E51" s="3"/>
      <x:c r="F51" s="3"/>
      <x:c r="G51" s="3"/>
      <x:c r="H51" s="3"/>
      <x:c r="I51" s="2"/>
      <x:c r="J51" s="2"/>
    </x:row>
    <x:row r="52" ht="22" customHeight="1">
      <x:c r="A52" s="2"/>
      <x:c r="B52" s="2"/>
      <x:c r="C52" s="3"/>
      <x:c r="D52" s="3"/>
      <x:c r="E52" s="3"/>
      <x:c r="F52" s="3"/>
      <x:c r="G52" s="3"/>
      <x:c r="H52" s="3"/>
      <x:c r="I52" s="2"/>
      <x:c r="J52" s="2"/>
    </x:row>
    <x:row r="53" ht="22" customHeight="1">
      <x:c r="A53" s="2"/>
      <x:c r="B53" s="2"/>
      <x:c r="C53" s="3"/>
      <x:c r="D53" s="3"/>
      <x:c r="E53" s="3"/>
      <x:c r="F53" s="3"/>
      <x:c r="G53" s="3"/>
      <x:c r="H53" s="3"/>
      <x:c r="I53" s="2"/>
      <x:c r="J53" s="2"/>
    </x:row>
    <x:row r="54" ht="22" customHeight="1">
      <x:c r="A54" s="2"/>
      <x:c r="B54" s="2"/>
      <x:c r="C54" s="3"/>
      <x:c r="D54" s="3"/>
      <x:c r="E54" s="3"/>
      <x:c r="F54" s="3"/>
      <x:c r="G54" s="3"/>
      <x:c r="H54" s="3"/>
      <x:c r="I54" s="2"/>
      <x:c r="J54" s="2"/>
    </x:row>
    <x:row r="55" ht="22" customHeight="1">
      <x:c r="A55" s="2"/>
      <x:c r="B55" s="2"/>
      <x:c r="C55" s="3"/>
      <x:c r="D55" s="3"/>
      <x:c r="E55" s="3"/>
      <x:c r="F55" s="3"/>
      <x:c r="G55" s="3"/>
      <x:c r="H55" s="3"/>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row r="61" ht="22" customHeight="1">
      <x:c r="A61" s="2"/>
      <x:c r="B61" s="2"/>
      <x:c r="C61" s="3"/>
      <x:c r="D61" s="3"/>
      <x:c r="E61" s="3"/>
      <x:c r="F61" s="3"/>
      <x:c r="G61" s="3"/>
      <x:c r="H61" s="3"/>
      <x:c r="I61" s="2"/>
      <x:c r="J61" s="2"/>
    </x:row>
    <x:row r="62" ht="22" customHeight="1">
      <x:c r="A62" s="2"/>
      <x:c r="B62" s="2"/>
      <x:c r="C62" s="3"/>
      <x:c r="D62" s="3"/>
      <x:c r="E62" s="3"/>
      <x:c r="F62" s="3"/>
      <x:c r="G62" s="3"/>
      <x:c r="H62" s="3"/>
      <x:c r="I62" s="2"/>
      <x:c r="J62" s="2"/>
    </x:row>
    <x:row r="63" ht="22" customHeight="1">
      <x:c r="A63" s="2"/>
      <x:c r="B63" s="2"/>
      <x:c r="C63" s="3"/>
      <x:c r="D63" s="3"/>
      <x:c r="E63" s="3"/>
      <x:c r="F63" s="3"/>
      <x:c r="G63" s="3"/>
      <x:c r="H63" s="3"/>
      <x:c r="I63" s="2"/>
      <x:c r="J63" s="2"/>
    </x:row>
    <x:row r="64" ht="22" customHeight="1">
      <x:c r="A64" s="2"/>
      <x:c r="B64" s="2"/>
      <x:c r="C64" s="3"/>
      <x:c r="D64" s="3"/>
      <x:c r="E64" s="3"/>
      <x:c r="F64" s="3"/>
      <x:c r="G64" s="3"/>
      <x:c r="H64" s="3"/>
      <x:c r="I64" s="2"/>
      <x:c r="J64" s="2"/>
    </x:row>
    <x:row r="65" ht="22" customHeight="1">
      <x:c r="A65" s="2"/>
      <x:c r="B65" s="2"/>
      <x:c r="C65" s="3"/>
      <x:c r="D65" s="3"/>
      <x:c r="E65" s="3"/>
      <x:c r="F65" s="3"/>
      <x:c r="G65" s="3"/>
      <x:c r="H65" s="3"/>
      <x:c r="I65" s="2"/>
      <x:c r="J65" s="2"/>
    </x:row>
  </x:sheetData>
  <x:mergeCells>
    <x:mergeCell ref="B2:H2"/>
    <x:mergeCell ref="B3:H3"/>
    <x:mergeCell ref="B6:H6"/>
    <x:mergeCell ref="B19:H19"/>
    <x:mergeCell ref="B32:H32"/>
    <x:mergeCell ref="B38:H38"/>
    <x:mergeCell ref="B39:H39"/>
  </x:mergeCells>
  <x:pageMargins left="0.7" right="0.7" top="0.75" bottom="0.75" header="0.3" footer="0.3"/>
  <x:drawing xmlns:r="http://schemas.openxmlformats.org/officeDocument/2006/relationships" r:id="Rf21f559de9104b8e"/>
</x:worksheet>
</file>

<file path=xl/worksheets/sheet8.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Standalone forecast assumptions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4" customHeight="1">
      <x:c r="A4" s="2"/>
      <x:c r="B4" s="2" t="str">
        <x:v>Select scenario (1–3)</x:v>
      </x:c>
      <x:c r="C4" s="57" t="n">
        <x:v>1</x:v>
      </x:c>
      <x:c r="D4" s="2" t="str">
        <x:f>IF(C4=1,"Base",IF(C4=2,"Upside",IF(C4=3,"Downside","Select 1, 2 or 3")))</x:f>
        <x:v>Base</x:v>
      </x:c>
      <x:c r="E4" s="51" t="str">
        <x:v>1 Base     2 Upside     3 Downside</x:v>
      </x:c>
      <x:c r="F4" s="51"/>
      <x:c r="G4" s="51"/>
      <x:c r="H4" s="51"/>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2" customHeight="1">
      <x:c r="A6" s="2"/>
      <x:c r="B6" s="2"/>
      <x:c r="C6" s="3"/>
      <x:c r="D6" s="3"/>
      <x:c r="E6" s="3"/>
      <x:c r="F6" s="3"/>
      <x:c r="G6" s="3"/>
      <x:c r="H6" s="3"/>
      <x:c r="I6" s="2"/>
      <x:c r="J6" s="2"/>
    </x:row>
    <x:row r="7" ht="25" customHeight="1">
      <x:c r="A7" s="2"/>
      <x:c r="B7" s="61" t="str">
        <x:v>TORRENT</x:v>
      </x:c>
      <x:c r="C7" s="62"/>
      <x:c r="D7" s="62"/>
      <x:c r="E7" s="62"/>
      <x:c r="F7" s="62"/>
      <x:c r="G7" s="62"/>
      <x:c r="H7" s="62"/>
      <x:c r="I7" s="2"/>
      <x:c r="J7" s="2"/>
    </x:row>
    <x:row r="8" ht="24" customHeight="1">
      <x:c r="A8" s="2"/>
      <x:c r="B8" s="67" t="str">
        <x:v>India growth — active</x:v>
      </x:c>
      <x:c r="C8" s="73" t="n">
        <x:f>'Torrent forecast'!C8</x:f>
        <x:v>0.12830921284857033</x:v>
      </x:c>
      <x:c r="D8" s="74" t="n">
        <x:f>IF(OR($C$4=1,$C$4=2,$C$4=3),IF(CHOOSE($C$4,ISNUMBER(D9),ISNUMBER(D10),ISNUMBER(D11)),CHOOSE($C$4,D9,D10,D11),NA()),NA())</x:f>
        <x:v>0.11</x:v>
      </x:c>
      <x:c r="E8" s="74" t="n">
        <x:f>IF(OR($C$4=1,$C$4=2,$C$4=3),IF(CHOOSE($C$4,ISNUMBER(E9),ISNUMBER(E10),ISNUMBER(E11)),CHOOSE($C$4,E9,E10,E11),NA()),NA())</x:f>
        <x:v>0.11</x:v>
      </x:c>
      <x:c r="F8" s="74" t="n">
        <x:f>IF(OR($C$4=1,$C$4=2,$C$4=3),IF(CHOOSE($C$4,ISNUMBER(F9),ISNUMBER(F10),ISNUMBER(F11)),CHOOSE($C$4,F9,F10,F11),NA()),NA())</x:f>
        <x:v>0.1</x:v>
      </x:c>
      <x:c r="G8" s="74" t="n">
        <x:f>IF(OR($C$4=1,$C$4=2,$C$4=3),IF(CHOOSE($C$4,ISNUMBER(G9),ISNUMBER(G10),ISNUMBER(G11)),CHOOSE($C$4,G9,G10,G11),NA()),NA())</x:f>
        <x:v>0.1</x:v>
      </x:c>
      <x:c r="H8" s="74" t="n">
        <x:f>IF(OR($C$4=1,$C$4=2,$C$4=3),IF(CHOOSE($C$4,ISNUMBER(H9),ISNUMBER(H10),ISNUMBER(H11)),CHOOSE($C$4,H9,H10,H11),NA()),NA())</x:f>
        <x:v>0.09</x:v>
      </x:c>
      <x:c r="I8" s="2"/>
      <x:c r="J8" s="8" t="str">
        <x:v>11% starts below FY25 India growth of 13%. Base fades as scale increases. Upside reflects stronger launches; downside weaker brand growth. T-call pp2–5.</x:v>
      </x:c>
    </x:row>
    <x:row r="9" ht="24" customHeight="1">
      <x:c r="A9" s="2"/>
      <x:c r="B9" s="2" t="str">
        <x:v>Base</x:v>
      </x:c>
      <x:c r="C9" s="31"/>
      <x:c r="D9" s="75" t="n">
        <x:v>0.11</x:v>
      </x:c>
      <x:c r="E9" s="75" t="n">
        <x:v>0.11</x:v>
      </x:c>
      <x:c r="F9" s="75" t="n">
        <x:v>0.1</x:v>
      </x:c>
      <x:c r="G9" s="75" t="n">
        <x:v>0.1</x:v>
      </x:c>
      <x:c r="H9" s="75" t="n">
        <x:v>0.09</x:v>
      </x:c>
      <x:c r="I9" s="2"/>
      <x:c r="J9" s="8"/>
    </x:row>
    <x:row r="10" ht="24" customHeight="1">
      <x:c r="A10" s="2"/>
      <x:c r="B10" s="2" t="str">
        <x:v>Upside</x:v>
      </x:c>
      <x:c r="C10" s="31"/>
      <x:c r="D10" s="75" t="n">
        <x:v>0.13</x:v>
      </x:c>
      <x:c r="E10" s="75" t="n">
        <x:v>0.13</x:v>
      </x:c>
      <x:c r="F10" s="75" t="n">
        <x:v>0.12</x:v>
      </x:c>
      <x:c r="G10" s="75" t="n">
        <x:v>0.12</x:v>
      </x:c>
      <x:c r="H10" s="75" t="n">
        <x:v>0.11</x:v>
      </x:c>
      <x:c r="I10" s="2"/>
      <x:c r="J10" s="8"/>
    </x:row>
    <x:row r="11" ht="24" customHeight="1">
      <x:c r="A11" s="2"/>
      <x:c r="B11" s="2" t="str">
        <x:v>Downside</x:v>
      </x:c>
      <x:c r="C11" s="31"/>
      <x:c r="D11" s="75" t="n">
        <x:v>0.07</x:v>
      </x:c>
      <x:c r="E11" s="75" t="n">
        <x:v>0.07</x:v>
      </x:c>
      <x:c r="F11" s="75" t="n">
        <x:v>0.07</x:v>
      </x:c>
      <x:c r="G11" s="75" t="n">
        <x:v>0.06</x:v>
      </x:c>
      <x:c r="H11" s="75" t="n">
        <x:v>0.06</x:v>
      </x:c>
      <x:c r="I11" s="2"/>
      <x:c r="J11" s="8"/>
    </x:row>
    <x:row r="12" ht="22" customHeight="1">
      <x:c r="A12" s="2"/>
      <x:c r="B12" s="2"/>
      <x:c r="C12" s="3"/>
      <x:c r="D12" s="3"/>
      <x:c r="E12" s="3"/>
      <x:c r="F12" s="3"/>
      <x:c r="G12" s="3"/>
      <x:c r="H12" s="3"/>
      <x:c r="I12" s="2"/>
      <x:c r="J12" s="2"/>
    </x:row>
    <x:row r="13" ht="24" customHeight="1">
      <x:c r="A13" s="2"/>
      <x:c r="B13" s="67" t="str">
        <x:v>International and other growth — active</x:v>
      </x:c>
      <x:c r="C13" s="73" t="n">
        <x:f>'Torrent forecast'!C10</x:f>
        <x:v>0.012100342958291765</x:v>
      </x:c>
      <x:c r="D13" s="74" t="n">
        <x:f>IF(OR($C$4=1,$C$4=2,$C$4=3),IF(CHOOSE($C$4,ISNUMBER(D14),ISNUMBER(D15),ISNUMBER(D16)),CHOOSE($C$4,D14,D15,D16),NA()),NA())</x:f>
        <x:v>0.07</x:v>
      </x:c>
      <x:c r="E13" s="74" t="n">
        <x:f>IF(OR($C$4=1,$C$4=2,$C$4=3),IF(CHOOSE($C$4,ISNUMBER(E14),ISNUMBER(E15),ISNUMBER(E16)),CHOOSE($C$4,E14,E15,E16),NA()),NA())</x:f>
        <x:v>0.07</x:v>
      </x:c>
      <x:c r="F13" s="74" t="n">
        <x:f>IF(OR($C$4=1,$C$4=2,$C$4=3),IF(CHOOSE($C$4,ISNUMBER(F14),ISNUMBER(F15),ISNUMBER(F16)),CHOOSE($C$4,F14,F15,F16),NA()),NA())</x:f>
        <x:v>0.07</x:v>
      </x:c>
      <x:c r="G13" s="74" t="n">
        <x:f>IF(OR($C$4=1,$C$4=2,$C$4=3),IF(CHOOSE($C$4,ISNUMBER(G14),ISNUMBER(G15),ISNUMBER(G16)),CHOOSE($C$4,G14,G15,G16),NA()),NA())</x:f>
        <x:v>0.06</x:v>
      </x:c>
      <x:c r="H13" s="74" t="n">
        <x:f>IF(OR($C$4=1,$C$4=2,$C$4=3),IF(CHOOSE($C$4,ISNUMBER(H14),ISNUMBER(H15),ISNUMBER(H16)),CHOOSE($C$4,H14,H15,H16),NA()),NA())</x:f>
        <x:v>0.06</x:v>
      </x:c>
      <x:c r="I13" s="2"/>
      <x:c r="J13" s="8" t="str">
        <x:v>Residual after management India revenue, including other operations. Base assumes tender wins and gradual US recovery, with currency risk. Not a pure geography segment. T-call pp2–6.</x:v>
      </x:c>
    </x:row>
    <x:row r="14" ht="24" customHeight="1">
      <x:c r="A14" s="2"/>
      <x:c r="B14" s="2" t="str">
        <x:v>Base</x:v>
      </x:c>
      <x:c r="C14" s="31"/>
      <x:c r="D14" s="75" t="n">
        <x:v>0.07</x:v>
      </x:c>
      <x:c r="E14" s="75" t="n">
        <x:v>0.07</x:v>
      </x:c>
      <x:c r="F14" s="75" t="n">
        <x:v>0.07</x:v>
      </x:c>
      <x:c r="G14" s="75" t="n">
        <x:v>0.06</x:v>
      </x:c>
      <x:c r="H14" s="75" t="n">
        <x:v>0.06</x:v>
      </x:c>
      <x:c r="I14" s="2"/>
      <x:c r="J14" s="8"/>
    </x:row>
    <x:row r="15" ht="24" customHeight="1">
      <x:c r="A15" s="2"/>
      <x:c r="B15" s="2" t="str">
        <x:v>Upside</x:v>
      </x:c>
      <x:c r="C15" s="31"/>
      <x:c r="D15" s="75" t="n">
        <x:v>0.1</x:v>
      </x:c>
      <x:c r="E15" s="75" t="n">
        <x:v>0.1</x:v>
      </x:c>
      <x:c r="F15" s="75" t="n">
        <x:v>0.09</x:v>
      </x:c>
      <x:c r="G15" s="75" t="n">
        <x:v>0.09</x:v>
      </x:c>
      <x:c r="H15" s="75" t="n">
        <x:v>0.08</x:v>
      </x:c>
      <x:c r="I15" s="2"/>
      <x:c r="J15" s="8"/>
    </x:row>
    <x:row r="16" ht="24" customHeight="1">
      <x:c r="A16" s="2"/>
      <x:c r="B16" s="2" t="str">
        <x:v>Downside</x:v>
      </x:c>
      <x:c r="C16" s="31"/>
      <x:c r="D16" s="75" t="n">
        <x:v>0.02</x:v>
      </x:c>
      <x:c r="E16" s="75" t="n">
        <x:v>0.03</x:v>
      </x:c>
      <x:c r="F16" s="75" t="n">
        <x:v>0.04</x:v>
      </x:c>
      <x:c r="G16" s="75" t="n">
        <x:v>0.04</x:v>
      </x:c>
      <x:c r="H16" s="75" t="n">
        <x:v>0.04</x:v>
      </x:c>
      <x:c r="I16" s="2"/>
      <x:c r="J16" s="8"/>
    </x:row>
    <x:row r="17" ht="22" customHeight="1">
      <x:c r="A17" s="2"/>
      <x:c r="B17" s="2"/>
      <x:c r="C17" s="3"/>
      <x:c r="D17" s="3"/>
      <x:c r="E17" s="3"/>
      <x:c r="F17" s="3"/>
      <x:c r="G17" s="3"/>
      <x:c r="H17" s="3"/>
      <x:c r="I17" s="2"/>
      <x:c r="J17" s="2"/>
    </x:row>
    <x:row r="18" ht="24" customHeight="1">
      <x:c r="A18" s="2"/>
      <x:c r="B18" s="67" t="str">
        <x:v>Operating EBITDA margin — active</x:v>
      </x:c>
      <x:c r="C18" s="73" t="n">
        <x:f>'Torrent forecast'!C17</x:f>
        <x:v>0.3231122716130215</x:v>
      </x:c>
      <x:c r="D18" s="74" t="n">
        <x:f>IF(OR($C$4=1,$C$4=2,$C$4=3),IF(CHOOSE($C$4,ISNUMBER(D19),ISNUMBER(D20),ISNUMBER(D21)),CHOOSE($C$4,D19,D20,D21),NA()),NA())</x:f>
        <x:v>0.325</x:v>
      </x:c>
      <x:c r="E18" s="74" t="n">
        <x:f>IF(OR($C$4=1,$C$4=2,$C$4=3),IF(CHOOSE($C$4,ISNUMBER(E19),ISNUMBER(E20),ISNUMBER(E21)),CHOOSE($C$4,E19,E20,E21),NA()),NA())</x:f>
        <x:v>0.33</x:v>
      </x:c>
      <x:c r="F18" s="74" t="n">
        <x:f>IF(OR($C$4=1,$C$4=2,$C$4=3),IF(CHOOSE($C$4,ISNUMBER(F19),ISNUMBER(F20),ISNUMBER(F21)),CHOOSE($C$4,F19,F20,F21),NA()),NA())</x:f>
        <x:v>0.335</x:v>
      </x:c>
      <x:c r="G18" s="74" t="n">
        <x:f>IF(OR($C$4=1,$C$4=2,$C$4=3),IF(CHOOSE($C$4,ISNUMBER(G19),ISNUMBER(G20),ISNUMBER(G21)),CHOOSE($C$4,G19,G20,G21),NA()),NA())</x:f>
        <x:v>0.34</x:v>
      </x:c>
      <x:c r="H18" s="74" t="n">
        <x:f>IF(OR($C$4=1,$C$4=2,$C$4=3),IF(CHOOSE($C$4,ISNUMBER(H19),ISNUMBER(H20),ISNUMBER(H21)),CHOOSE($C$4,H19,H20,H21),NA()),NA())</x:f>
        <x:v>0.345</x:v>
      </x:c>
      <x:c r="I18" s="2"/>
      <x:c r="J18" s="8" t="str">
        <x:v>FY25 32.3%. Modest FY26 expansion allows R&amp;D / field-force reinvestment. Later gains are standalone operating leverage. No JB synergy. T-call pp5–6; T25 P&amp;L.</x:v>
      </x:c>
    </x:row>
    <x:row r="19" ht="24" customHeight="1">
      <x:c r="A19" s="2"/>
      <x:c r="B19" s="2" t="str">
        <x:v>Base</x:v>
      </x:c>
      <x:c r="C19" s="31"/>
      <x:c r="D19" s="75" t="n">
        <x:v>0.325</x:v>
      </x:c>
      <x:c r="E19" s="75" t="n">
        <x:v>0.33</x:v>
      </x:c>
      <x:c r="F19" s="75" t="n">
        <x:v>0.335</x:v>
      </x:c>
      <x:c r="G19" s="75" t="n">
        <x:v>0.34</x:v>
      </x:c>
      <x:c r="H19" s="75" t="n">
        <x:v>0.345</x:v>
      </x:c>
      <x:c r="I19" s="2"/>
      <x:c r="J19" s="8"/>
    </x:row>
    <x:row r="20" ht="24" customHeight="1">
      <x:c r="A20" s="2"/>
      <x:c r="B20" s="2" t="str">
        <x:v>Upside</x:v>
      </x:c>
      <x:c r="C20" s="31"/>
      <x:c r="D20" s="75" t="n">
        <x:v>0.33</x:v>
      </x:c>
      <x:c r="E20" s="75" t="n">
        <x:v>0.34</x:v>
      </x:c>
      <x:c r="F20" s="75" t="n">
        <x:v>0.35</x:v>
      </x:c>
      <x:c r="G20" s="75" t="n">
        <x:v>0.355</x:v>
      </x:c>
      <x:c r="H20" s="75" t="n">
        <x:v>0.36</x:v>
      </x:c>
      <x:c r="I20" s="2"/>
      <x:c r="J20" s="8"/>
    </x:row>
    <x:row r="21" ht="24" customHeight="1">
      <x:c r="A21" s="2"/>
      <x:c r="B21" s="2" t="str">
        <x:v>Downside</x:v>
      </x:c>
      <x:c r="C21" s="31"/>
      <x:c r="D21" s="75" t="n">
        <x:v>0.3</x:v>
      </x:c>
      <x:c r="E21" s="75" t="n">
        <x:v>0.305</x:v>
      </x:c>
      <x:c r="F21" s="75" t="n">
        <x:v>0.31</x:v>
      </x:c>
      <x:c r="G21" s="75" t="n">
        <x:v>0.315</x:v>
      </x:c>
      <x:c r="H21" s="75" t="n">
        <x:v>0.32</x:v>
      </x:c>
      <x:c r="I21" s="2"/>
      <x:c r="J21" s="8"/>
    </x:row>
    <x:row r="22" ht="22" customHeight="1">
      <x:c r="A22" s="2"/>
      <x:c r="B22" s="2"/>
      <x:c r="C22" s="3"/>
      <x:c r="D22" s="3"/>
      <x:c r="E22" s="3"/>
      <x:c r="F22" s="3"/>
      <x:c r="G22" s="3"/>
      <x:c r="H22" s="3"/>
      <x:c r="I22" s="2"/>
      <x:c r="J22" s="2"/>
    </x:row>
    <x:row r="23" ht="24" customHeight="1">
      <x:c r="A23" s="2"/>
      <x:c r="B23" s="67" t="str">
        <x:v>D&amp;A / revenue — active</x:v>
      </x:c>
      <x:c r="C23" s="73" t="n">
        <x:f>'Torrent forecast'!C19</x:f>
        <x:v>0.06902776897367074</x:v>
      </x:c>
      <x:c r="D23" s="74" t="n">
        <x:f>IF(OR($C$4=1,$C$4=2,$C$4=3),IF(CHOOSE($C$4,ISNUMBER(D24),ISNUMBER(D25),ISNUMBER(D26)),CHOOSE($C$4,D24,D25,D26),NA()),NA())</x:f>
        <x:v>0.068</x:v>
      </x:c>
      <x:c r="E23" s="74" t="n">
        <x:f>IF(OR($C$4=1,$C$4=2,$C$4=3),IF(CHOOSE($C$4,ISNUMBER(E24),ISNUMBER(E25),ISNUMBER(E26)),CHOOSE($C$4,E24,E25,E26),NA()),NA())</x:f>
        <x:v>0.065</x:v>
      </x:c>
      <x:c r="F23" s="74" t="n">
        <x:f>IF(OR($C$4=1,$C$4=2,$C$4=3),IF(CHOOSE($C$4,ISNUMBER(F24),ISNUMBER(F25),ISNUMBER(F26)),CHOOSE($C$4,F24,F25,F26),NA()),NA())</x:f>
        <x:v>0.062</x:v>
      </x:c>
      <x:c r="G23" s="74" t="n">
        <x:f>IF(OR($C$4=1,$C$4=2,$C$4=3),IF(CHOOSE($C$4,ISNUMBER(G24),ISNUMBER(G25),ISNUMBER(G26)),CHOOSE($C$4,G24,G25,G26),NA()),NA())</x:f>
        <x:v>0.06</x:v>
      </x:c>
      <x:c r="H23" s="74" t="n">
        <x:f>IF(OR($C$4=1,$C$4=2,$C$4=3),IF(CHOOSE($C$4,ISNUMBER(H24),ISNUMBER(H25),ISNUMBER(H26)),CHOOSE($C$4,H24,H25,H26),NA()),NA())</x:f>
        <x:v>0.057999999999999996</x:v>
      </x:c>
      <x:c r="I23" s="2"/>
      <x:c r="J23" s="8" t="str">
        <x:v>FY25 about 6.9%. Ratio proxy assumes revenue outgrows legacy brand amortisation. Replace with asset-by-asset useful lives before final valuation. T25 P&amp;L.</x:v>
      </x:c>
    </x:row>
    <x:row r="24" ht="24" customHeight="1">
      <x:c r="A24" s="2"/>
      <x:c r="B24" s="2" t="str">
        <x:v>Base</x:v>
      </x:c>
      <x:c r="C24" s="31"/>
      <x:c r="D24" s="75" t="n">
        <x:v>0.068</x:v>
      </x:c>
      <x:c r="E24" s="75" t="n">
        <x:v>0.065</x:v>
      </x:c>
      <x:c r="F24" s="75" t="n">
        <x:v>0.062</x:v>
      </x:c>
      <x:c r="G24" s="75" t="n">
        <x:v>0.06</x:v>
      </x:c>
      <x:c r="H24" s="75" t="n">
        <x:v>0.057999999999999996</x:v>
      </x:c>
      <x:c r="I24" s="2"/>
      <x:c r="J24" s="8"/>
    </x:row>
    <x:row r="25" ht="24" customHeight="1">
      <x:c r="A25" s="2"/>
      <x:c r="B25" s="2" t="str">
        <x:v>Upside</x:v>
      </x:c>
      <x:c r="C25" s="31"/>
      <x:c r="D25" s="75" t="n">
        <x:v>0.065</x:v>
      </x:c>
      <x:c r="E25" s="75" t="n">
        <x:v>0.062</x:v>
      </x:c>
      <x:c r="F25" s="75" t="n">
        <x:v>0.059000000000000004</x:v>
      </x:c>
      <x:c r="G25" s="75" t="n">
        <x:v>0.057</x:v>
      </x:c>
      <x:c r="H25" s="75" t="n">
        <x:v>0.055</x:v>
      </x:c>
      <x:c r="I25" s="2"/>
      <x:c r="J25" s="8"/>
    </x:row>
    <x:row r="26" ht="24" customHeight="1">
      <x:c r="A26" s="2"/>
      <x:c r="B26" s="2" t="str">
        <x:v>Downside</x:v>
      </x:c>
      <x:c r="C26" s="31"/>
      <x:c r="D26" s="75" t="n">
        <x:v>0.07</x:v>
      </x:c>
      <x:c r="E26" s="75" t="n">
        <x:v>0.07</x:v>
      </x:c>
      <x:c r="F26" s="75" t="n">
        <x:v>0.068</x:v>
      </x:c>
      <x:c r="G26" s="75" t="n">
        <x:v>0.066</x:v>
      </x:c>
      <x:c r="H26" s="75" t="n">
        <x:v>0.064</x:v>
      </x:c>
      <x:c r="I26" s="2"/>
      <x:c r="J26" s="8"/>
    </x:row>
    <x:row r="27" ht="22" customHeight="1">
      <x:c r="A27" s="2"/>
      <x:c r="B27" s="2"/>
      <x:c r="C27" s="3"/>
      <x:c r="D27" s="3"/>
      <x:c r="E27" s="3"/>
      <x:c r="F27" s="3"/>
      <x:c r="G27" s="3"/>
      <x:c r="H27" s="3"/>
      <x:c r="I27" s="2"/>
      <x:c r="J27" s="2"/>
    </x:row>
    <x:row r="28" ht="24" customHeight="1">
      <x:c r="A28" s="2"/>
      <x:c r="B28" s="67" t="str">
        <x:v>Operating tax rate — active</x:v>
      </x:c>
      <x:c r="C28" s="73" t="n">
        <x:f>'Torrent forecast'!C22</x:f>
        <x:v>0.2849285957475465</x:v>
      </x:c>
      <x:c r="D28" s="74" t="n">
        <x:f>IF(OR($C$4=1,$C$4=2,$C$4=3),IF(CHOOSE($C$4,ISNUMBER(D29),ISNUMBER(D30),ISNUMBER(D31)),CHOOSE($C$4,D29,D30,D31),NA()),NA())</x:f>
        <x:v>0.28</x:v>
      </x:c>
      <x:c r="E28" s="74" t="n">
        <x:f>IF(OR($C$4=1,$C$4=2,$C$4=3),IF(CHOOSE($C$4,ISNUMBER(E29),ISNUMBER(E30),ISNUMBER(E31)),CHOOSE($C$4,E29,E30,E31),NA()),NA())</x:f>
        <x:v>0.28</x:v>
      </x:c>
      <x:c r="F28" s="74" t="n">
        <x:f>IF(OR($C$4=1,$C$4=2,$C$4=3),IF(CHOOSE($C$4,ISNUMBER(F29),ISNUMBER(F30),ISNUMBER(F31)),CHOOSE($C$4,F29,F30,F31),NA()),NA())</x:f>
        <x:v>0.28</x:v>
      </x:c>
      <x:c r="G28" s="74" t="n">
        <x:f>IF(OR($C$4=1,$C$4=2,$C$4=3),IF(CHOOSE($C$4,ISNUMBER(G29),ISNUMBER(G30),ISNUMBER(G31)),CHOOSE($C$4,G29,G30,G31),NA()),NA())</x:f>
        <x:v>0.28</x:v>
      </x:c>
      <x:c r="H28" s="74" t="n">
        <x:f>IF(OR($C$4=1,$C$4=2,$C$4=3),IF(CHOOSE($C$4,ISNUMBER(H29),ISNUMBER(H30),ISNUMBER(H31)),CHOOSE($C$4,H29,H30,H31),NA()),NA())</x:f>
        <x:v>0.28</x:v>
      </x:c>
      <x:c r="I28" s="2"/>
      <x:c r="J28" s="8" t="str">
        <x:v>Analyst cash-tax proxy around FY25 effective rate of 28.5%. Applied to positive EBIT. No deferred-tax or loss-carryforward schedule. T25 P&amp;L.</x:v>
      </x:c>
    </x:row>
    <x:row r="29" ht="24" customHeight="1">
      <x:c r="A29" s="2"/>
      <x:c r="B29" s="2" t="str">
        <x:v>Base</x:v>
      </x:c>
      <x:c r="C29" s="31"/>
      <x:c r="D29" s="75" t="n">
        <x:v>0.28</x:v>
      </x:c>
      <x:c r="E29" s="75" t="n">
        <x:v>0.28</x:v>
      </x:c>
      <x:c r="F29" s="75" t="n">
        <x:v>0.28</x:v>
      </x:c>
      <x:c r="G29" s="75" t="n">
        <x:v>0.28</x:v>
      </x:c>
      <x:c r="H29" s="75" t="n">
        <x:v>0.28</x:v>
      </x:c>
      <x:c r="I29" s="2"/>
      <x:c r="J29" s="8"/>
    </x:row>
    <x:row r="30" ht="24" customHeight="1">
      <x:c r="A30" s="2"/>
      <x:c r="B30" s="2" t="str">
        <x:v>Upside</x:v>
      </x:c>
      <x:c r="C30" s="31"/>
      <x:c r="D30" s="75" t="n">
        <x:v>0.27</x:v>
      </x:c>
      <x:c r="E30" s="75" t="n">
        <x:v>0.27</x:v>
      </x:c>
      <x:c r="F30" s="75" t="n">
        <x:v>0.27</x:v>
      </x:c>
      <x:c r="G30" s="75" t="n">
        <x:v>0.27</x:v>
      </x:c>
      <x:c r="H30" s="75" t="n">
        <x:v>0.27</x:v>
      </x:c>
      <x:c r="I30" s="2"/>
      <x:c r="J30" s="8"/>
    </x:row>
    <x:row r="31" ht="24" customHeight="1">
      <x:c r="A31" s="2"/>
      <x:c r="B31" s="2" t="str">
        <x:v>Downside</x:v>
      </x:c>
      <x:c r="C31" s="31"/>
      <x:c r="D31" s="75" t="n">
        <x:v>0.29</x:v>
      </x:c>
      <x:c r="E31" s="75" t="n">
        <x:v>0.29</x:v>
      </x:c>
      <x:c r="F31" s="75" t="n">
        <x:v>0.29</x:v>
      </x:c>
      <x:c r="G31" s="75" t="n">
        <x:v>0.29</x:v>
      </x:c>
      <x:c r="H31" s="75" t="n">
        <x:v>0.29</x:v>
      </x:c>
      <x:c r="I31" s="2"/>
      <x:c r="J31" s="8"/>
    </x:row>
    <x:row r="32" ht="22" customHeight="1">
      <x:c r="A32" s="2"/>
      <x:c r="B32" s="2"/>
      <x:c r="C32" s="3"/>
      <x:c r="D32" s="3"/>
      <x:c r="E32" s="3"/>
      <x:c r="F32" s="3"/>
      <x:c r="G32" s="3"/>
      <x:c r="H32" s="3"/>
      <x:c r="I32" s="2"/>
      <x:c r="J32" s="2"/>
    </x:row>
    <x:row r="33" ht="24" customHeight="1">
      <x:c r="A33" s="2"/>
      <x:c r="B33" s="67" t="str">
        <x:v>Recurring capex / revenue — active</x:v>
      </x:c>
      <x:c r="C33" s="73" t="n">
        <x:f>'Torrent forecast'!C38</x:f>
        <x:v>0.05313174870984857</x:v>
      </x:c>
      <x:c r="D33" s="74" t="n">
        <x:f>IF(OR($C$4=1,$C$4=2,$C$4=3),IF(CHOOSE($C$4,ISNUMBER(D34),ISNUMBER(D35),ISNUMBER(D36)),CHOOSE($C$4,D34,D35,D36),NA()),NA())</x:f>
        <x:v>0.05</x:v>
      </x:c>
      <x:c r="E33" s="74" t="n">
        <x:f>IF(OR($C$4=1,$C$4=2,$C$4=3),IF(CHOOSE($C$4,ISNUMBER(E34),ISNUMBER(E35),ISNUMBER(E36)),CHOOSE($C$4,E34,E35,E36),NA()),NA())</x:f>
        <x:v>0.05</x:v>
      </x:c>
      <x:c r="F33" s="74" t="n">
        <x:f>IF(OR($C$4=1,$C$4=2,$C$4=3),IF(CHOOSE($C$4,ISNUMBER(F34),ISNUMBER(F35),ISNUMBER(F36)),CHOOSE($C$4,F34,F35,F36),NA()),NA())</x:f>
        <x:v>0.048</x:v>
      </x:c>
      <x:c r="G33" s="74" t="n">
        <x:f>IF(OR($C$4=1,$C$4=2,$C$4=3),IF(CHOOSE($C$4,ISNUMBER(G34),ISNUMBER(G35),ISNUMBER(G36)),CHOOSE($C$4,G34,G35,G36),NA()),NA())</x:f>
        <x:v>0.045</x:v>
      </x:c>
      <x:c r="H33" s="74" t="n">
        <x:f>IF(OR($C$4=1,$C$4=2,$C$4=3),IF(CHOOSE($C$4,ISNUMBER(H34),ISNUMBER(H35),ISNUMBER(H36)),CHOOSE($C$4,H34,H35,H36),NA()),NA())</x:f>
        <x:v>0.045</x:v>
      </x:c>
      <x:c r="I33" s="2"/>
      <x:c r="J33" s="8" t="str">
        <x:v>FY25 combined capex was 5.3% of revenue. Base includes maintenance and ordinary growth investment; excludes new business / brand acquisitions. T25 CF.</x:v>
      </x:c>
    </x:row>
    <x:row r="34" ht="24" customHeight="1">
      <x:c r="A34" s="2"/>
      <x:c r="B34" s="2" t="str">
        <x:v>Base</x:v>
      </x:c>
      <x:c r="C34" s="31"/>
      <x:c r="D34" s="75" t="n">
        <x:v>0.05</x:v>
      </x:c>
      <x:c r="E34" s="75" t="n">
        <x:v>0.05</x:v>
      </x:c>
      <x:c r="F34" s="75" t="n">
        <x:v>0.048</x:v>
      </x:c>
      <x:c r="G34" s="75" t="n">
        <x:v>0.045</x:v>
      </x:c>
      <x:c r="H34" s="75" t="n">
        <x:v>0.045</x:v>
      </x:c>
      <x:c r="I34" s="2"/>
      <x:c r="J34" s="8"/>
    </x:row>
    <x:row r="35" ht="24" customHeight="1">
      <x:c r="A35" s="2"/>
      <x:c r="B35" s="2" t="str">
        <x:v>Upside</x:v>
      </x:c>
      <x:c r="C35" s="31"/>
      <x:c r="D35" s="75" t="n">
        <x:v>0.048</x:v>
      </x:c>
      <x:c r="E35" s="75" t="n">
        <x:v>0.048</x:v>
      </x:c>
      <x:c r="F35" s="75" t="n">
        <x:v>0.046</x:v>
      </x:c>
      <x:c r="G35" s="75" t="n">
        <x:v>0.045</x:v>
      </x:c>
      <x:c r="H35" s="75" t="n">
        <x:v>0.045</x:v>
      </x:c>
      <x:c r="I35" s="2"/>
      <x:c r="J35" s="8"/>
    </x:row>
    <x:row r="36" ht="24" customHeight="1">
      <x:c r="A36" s="2"/>
      <x:c r="B36" s="2" t="str">
        <x:v>Downside</x:v>
      </x:c>
      <x:c r="C36" s="31"/>
      <x:c r="D36" s="75" t="n">
        <x:v>0.055</x:v>
      </x:c>
      <x:c r="E36" s="75" t="n">
        <x:v>0.055</x:v>
      </x:c>
      <x:c r="F36" s="75" t="n">
        <x:v>0.053</x:v>
      </x:c>
      <x:c r="G36" s="75" t="n">
        <x:v>0.052000000000000005</x:v>
      </x:c>
      <x:c r="H36" s="75" t="n">
        <x:v>0.05</x:v>
      </x:c>
      <x:c r="I36" s="2"/>
      <x:c r="J36" s="8"/>
    </x:row>
    <x:row r="37" ht="22" customHeight="1">
      <x:c r="A37" s="2"/>
      <x:c r="B37" s="2"/>
      <x:c r="C37" s="3"/>
      <x:c r="D37" s="3"/>
      <x:c r="E37" s="3"/>
      <x:c r="F37" s="3"/>
      <x:c r="G37" s="3"/>
      <x:c r="H37" s="3"/>
      <x:c r="I37" s="2"/>
      <x:c r="J37" s="2"/>
    </x:row>
    <x:row r="38" ht="24" customHeight="1">
      <x:c r="A38" s="2"/>
      <x:c r="B38" s="67" t="str">
        <x:v>Inventory / revenue — active</x:v>
      </x:c>
      <x:c r="C38" s="73" t="n">
        <x:f>'Torrent forecast'!C27</x:f>
        <x:v>0.2206695154344921</x:v>
      </x:c>
      <x:c r="D38" s="74" t="n">
        <x:f>IF(OR($C$4=1,$C$4=2,$C$4=3),IF(CHOOSE($C$4,ISNUMBER(D39),ISNUMBER(D40),ISNUMBER(D41)),CHOOSE($C$4,D39,D40,D41),NA()),NA())</x:f>
        <x:v>0.22</x:v>
      </x:c>
      <x:c r="E38" s="74" t="n">
        <x:f>IF(OR($C$4=1,$C$4=2,$C$4=3),IF(CHOOSE($C$4,ISNUMBER(E39),ISNUMBER(E40),ISNUMBER(E41)),CHOOSE($C$4,E39,E40,E41),NA()),NA())</x:f>
        <x:v>0.215</x:v>
      </x:c>
      <x:c r="F38" s="74" t="n">
        <x:f>IF(OR($C$4=1,$C$4=2,$C$4=3),IF(CHOOSE($C$4,ISNUMBER(F39),ISNUMBER(F40),ISNUMBER(F41)),CHOOSE($C$4,F39,F40,F41),NA()),NA())</x:f>
        <x:v>0.21</x:v>
      </x:c>
      <x:c r="G38" s="74" t="n">
        <x:f>IF(OR($C$4=1,$C$4=2,$C$4=3),IF(CHOOSE($C$4,ISNUMBER(G39),ISNUMBER(G40),ISNUMBER(G41)),CHOOSE($C$4,G39,G40,G41),NA()),NA())</x:f>
        <x:v>0.205</x:v>
      </x:c>
      <x:c r="H38" s="74" t="n">
        <x:f>IF(OR($C$4=1,$C$4=2,$C$4=3),IF(CHOOSE($C$4,ISNUMBER(H39),ISNUMBER(H40),ISNUMBER(H41)),CHOOSE($C$4,H39,H40,H41),NA()),NA())</x:f>
        <x:v>0.2</x:v>
      </x:c>
      <x:c r="I38" s="2"/>
      <x:c r="J38" s="8" t="str">
        <x:v>FY25 22.1%. Base assumes gradual stock efficiency; downside inventory build; upside faster turns. Closing balance / revenue, not COGS days. T25 BS.</x:v>
      </x:c>
    </x:row>
    <x:row r="39" ht="24" customHeight="1">
      <x:c r="A39" s="2"/>
      <x:c r="B39" s="2" t="str">
        <x:v>Base</x:v>
      </x:c>
      <x:c r="C39" s="31"/>
      <x:c r="D39" s="75" t="n">
        <x:v>0.22</x:v>
      </x:c>
      <x:c r="E39" s="75" t="n">
        <x:v>0.215</x:v>
      </x:c>
      <x:c r="F39" s="75" t="n">
        <x:v>0.21</x:v>
      </x:c>
      <x:c r="G39" s="75" t="n">
        <x:v>0.205</x:v>
      </x:c>
      <x:c r="H39" s="75" t="n">
        <x:v>0.2</x:v>
      </x:c>
      <x:c r="I39" s="2"/>
      <x:c r="J39" s="8"/>
    </x:row>
    <x:row r="40" ht="24" customHeight="1">
      <x:c r="A40" s="2"/>
      <x:c r="B40" s="2" t="str">
        <x:v>Upside</x:v>
      </x:c>
      <x:c r="C40" s="31"/>
      <x:c r="D40" s="75" t="n">
        <x:v>0.21</x:v>
      </x:c>
      <x:c r="E40" s="75" t="n">
        <x:v>0.2</x:v>
      </x:c>
      <x:c r="F40" s="75" t="n">
        <x:v>0.195</x:v>
      </x:c>
      <x:c r="G40" s="75" t="n">
        <x:v>0.19</x:v>
      </x:c>
      <x:c r="H40" s="75" t="n">
        <x:v>0.185</x:v>
      </x:c>
      <x:c r="I40" s="2"/>
      <x:c r="J40" s="8"/>
    </x:row>
    <x:row r="41" ht="24" customHeight="1">
      <x:c r="A41" s="2"/>
      <x:c r="B41" s="2" t="str">
        <x:v>Downside</x:v>
      </x:c>
      <x:c r="C41" s="31"/>
      <x:c r="D41" s="75" t="n">
        <x:v>0.24</x:v>
      </x:c>
      <x:c r="E41" s="75" t="n">
        <x:v>0.245</x:v>
      </x:c>
      <x:c r="F41" s="75" t="n">
        <x:v>0.24</x:v>
      </x:c>
      <x:c r="G41" s="75" t="n">
        <x:v>0.235</x:v>
      </x:c>
      <x:c r="H41" s="75" t="n">
        <x:v>0.23</x:v>
      </x:c>
      <x:c r="I41" s="2"/>
      <x:c r="J41" s="8"/>
    </x:row>
    <x:row r="42" ht="22" customHeight="1">
      <x:c r="A42" s="2"/>
      <x:c r="B42" s="2"/>
      <x:c r="C42" s="3"/>
      <x:c r="D42" s="3"/>
      <x:c r="E42" s="3"/>
      <x:c r="F42" s="3"/>
      <x:c r="G42" s="3"/>
      <x:c r="H42" s="3"/>
      <x:c r="I42" s="2"/>
      <x:c r="J42" s="2"/>
    </x:row>
    <x:row r="43" ht="24" customHeight="1">
      <x:c r="A43" s="2"/>
      <x:c r="B43" s="67" t="str">
        <x:v>Receivables / revenue — active</x:v>
      </x:c>
      <x:c r="C43" s="73" t="n">
        <x:f>'Torrent forecast'!C29</x:f>
        <x:v>0.1620732383994915</x:v>
      </x:c>
      <x:c r="D43" s="74" t="n">
        <x:f>IF(OR($C$4=1,$C$4=2,$C$4=3),IF(CHOOSE($C$4,ISNUMBER(D44),ISNUMBER(D45),ISNUMBER(D46)),CHOOSE($C$4,D44,D45,D46),NA()),NA())</x:f>
        <x:v>0.16</x:v>
      </x:c>
      <x:c r="E43" s="74" t="n">
        <x:f>IF(OR($C$4=1,$C$4=2,$C$4=3),IF(CHOOSE($C$4,ISNUMBER(E44),ISNUMBER(E45),ISNUMBER(E46)),CHOOSE($C$4,E44,E45,E46),NA()),NA())</x:f>
        <x:v>0.158</x:v>
      </x:c>
      <x:c r="F43" s="74" t="n">
        <x:f>IF(OR($C$4=1,$C$4=2,$C$4=3),IF(CHOOSE($C$4,ISNUMBER(F44),ISNUMBER(F45),ISNUMBER(F46)),CHOOSE($C$4,F44,F45,F46),NA()),NA())</x:f>
        <x:v>0.155</x:v>
      </x:c>
      <x:c r="G43" s="74" t="n">
        <x:f>IF(OR($C$4=1,$C$4=2,$C$4=3),IF(CHOOSE($C$4,ISNUMBER(G44),ISNUMBER(G45),ISNUMBER(G46)),CHOOSE($C$4,G44,G45,G46),NA()),NA())</x:f>
        <x:v>0.153</x:v>
      </x:c>
      <x:c r="H43" s="74" t="n">
        <x:f>IF(OR($C$4=1,$C$4=2,$C$4=3),IF(CHOOSE($C$4,ISNUMBER(H44),ISNUMBER(H45),ISNUMBER(H46)),CHOOSE($C$4,H44,H45,H46),NA()),NA())</x:f>
        <x:v>0.15</x:v>
      </x:c>
      <x:c r="I43" s="2"/>
      <x:c r="J43" s="8" t="str">
        <x:v>FY25 16.2%. Base allows modest collection improvement. Downside assumes slower collections. T25 BS.</x:v>
      </x:c>
    </x:row>
    <x:row r="44" ht="24" customHeight="1">
      <x:c r="A44" s="2"/>
      <x:c r="B44" s="2" t="str">
        <x:v>Base</x:v>
      </x:c>
      <x:c r="C44" s="31"/>
      <x:c r="D44" s="75" t="n">
        <x:v>0.16</x:v>
      </x:c>
      <x:c r="E44" s="75" t="n">
        <x:v>0.158</x:v>
      </x:c>
      <x:c r="F44" s="75" t="n">
        <x:v>0.155</x:v>
      </x:c>
      <x:c r="G44" s="75" t="n">
        <x:v>0.153</x:v>
      </x:c>
      <x:c r="H44" s="75" t="n">
        <x:v>0.15</x:v>
      </x:c>
      <x:c r="I44" s="2"/>
      <x:c r="J44" s="8"/>
    </x:row>
    <x:row r="45" ht="24" customHeight="1">
      <x:c r="A45" s="2"/>
      <x:c r="B45" s="2" t="str">
        <x:v>Upside</x:v>
      </x:c>
      <x:c r="C45" s="31"/>
      <x:c r="D45" s="75" t="n">
        <x:v>0.155</x:v>
      </x:c>
      <x:c r="E45" s="75" t="n">
        <x:v>0.15</x:v>
      </x:c>
      <x:c r="F45" s="75" t="n">
        <x:v>0.145</x:v>
      </x:c>
      <x:c r="G45" s="75" t="n">
        <x:v>0.14</x:v>
      </x:c>
      <x:c r="H45" s="75" t="n">
        <x:v>0.14</x:v>
      </x:c>
      <x:c r="I45" s="2"/>
      <x:c r="J45" s="8"/>
    </x:row>
    <x:row r="46" ht="24" customHeight="1">
      <x:c r="A46" s="2"/>
      <x:c r="B46" s="2" t="str">
        <x:v>Downside</x:v>
      </x:c>
      <x:c r="C46" s="31"/>
      <x:c r="D46" s="75" t="n">
        <x:v>0.18</x:v>
      </x:c>
      <x:c r="E46" s="75" t="n">
        <x:v>0.185</x:v>
      </x:c>
      <x:c r="F46" s="75" t="n">
        <x:v>0.185</x:v>
      </x:c>
      <x:c r="G46" s="75" t="n">
        <x:v>0.18</x:v>
      </x:c>
      <x:c r="H46" s="75" t="n">
        <x:v>0.175</x:v>
      </x:c>
      <x:c r="I46" s="2"/>
      <x:c r="J46" s="8"/>
    </x:row>
    <x:row r="47" ht="22" customHeight="1">
      <x:c r="A47" s="2"/>
      <x:c r="B47" s="2"/>
      <x:c r="C47" s="3"/>
      <x:c r="D47" s="3"/>
      <x:c r="E47" s="3"/>
      <x:c r="F47" s="3"/>
      <x:c r="G47" s="3"/>
      <x:c r="H47" s="3"/>
      <x:c r="I47" s="2"/>
      <x:c r="J47" s="2"/>
    </x:row>
    <x:row r="48" ht="24" customHeight="1">
      <x:c r="A48" s="2"/>
      <x:c r="B48" s="67" t="str">
        <x:v>Payables / revenue — active</x:v>
      </x:c>
      <x:c r="C48" s="73" t="n">
        <x:f>'Torrent forecast'!C31</x:f>
        <x:v>0.15804148803977738</x:v>
      </x:c>
      <x:c r="D48" s="74" t="n">
        <x:f>IF(OR($C$4=1,$C$4=2,$C$4=3),IF(CHOOSE($C$4,ISNUMBER(D49),ISNUMBER(D50),ISNUMBER(D51)),CHOOSE($C$4,D49,D50,D51),NA()),NA())</x:f>
        <x:v>0.155</x:v>
      </x:c>
      <x:c r="E48" s="74" t="n">
        <x:f>IF(OR($C$4=1,$C$4=2,$C$4=3),IF(CHOOSE($C$4,ISNUMBER(E49),ISNUMBER(E50),ISNUMBER(E51)),CHOOSE($C$4,E49,E50,E51),NA()),NA())</x:f>
        <x:v>0.155</x:v>
      </x:c>
      <x:c r="F48" s="74" t="n">
        <x:f>IF(OR($C$4=1,$C$4=2,$C$4=3),IF(CHOOSE($C$4,ISNUMBER(F49),ISNUMBER(F50),ISNUMBER(F51)),CHOOSE($C$4,F49,F50,F51),NA()),NA())</x:f>
        <x:v>0.155</x:v>
      </x:c>
      <x:c r="G48" s="74" t="n">
        <x:f>IF(OR($C$4=1,$C$4=2,$C$4=3),IF(CHOOSE($C$4,ISNUMBER(G49),ISNUMBER(G50),ISNUMBER(G51)),CHOOSE($C$4,G49,G50,G51),NA()),NA())</x:f>
        <x:v>0.155</x:v>
      </x:c>
      <x:c r="H48" s="74" t="n">
        <x:f>IF(OR($C$4=1,$C$4=2,$C$4=3),IF(CHOOSE($C$4,ISNUMBER(H49),ISNUMBER(H50),ISNUMBER(H51)),CHOOSE($C$4,H49,H50,H51),NA()),NA())</x:f>
        <x:v>0.155</x:v>
      </x:c>
      <x:c r="I48" s="2"/>
      <x:c r="J48" s="8" t="str">
        <x:v>FY25 15.8%. Conservative base supplier funding; upside modestly better terms, downside shorter terms. T25 BS.</x:v>
      </x:c>
    </x:row>
    <x:row r="49" ht="24" customHeight="1">
      <x:c r="A49" s="2"/>
      <x:c r="B49" s="2" t="str">
        <x:v>Base</x:v>
      </x:c>
      <x:c r="C49" s="31"/>
      <x:c r="D49" s="75" t="n">
        <x:v>0.155</x:v>
      </x:c>
      <x:c r="E49" s="75" t="n">
        <x:v>0.155</x:v>
      </x:c>
      <x:c r="F49" s="75" t="n">
        <x:v>0.155</x:v>
      </x:c>
      <x:c r="G49" s="75" t="n">
        <x:v>0.155</x:v>
      </x:c>
      <x:c r="H49" s="75" t="n">
        <x:v>0.155</x:v>
      </x:c>
      <x:c r="I49" s="2"/>
      <x:c r="J49" s="8"/>
    </x:row>
    <x:row r="50" ht="24" customHeight="1">
      <x:c r="A50" s="2"/>
      <x:c r="B50" s="2" t="str">
        <x:v>Upside</x:v>
      </x:c>
      <x:c r="C50" s="31"/>
      <x:c r="D50" s="75" t="n">
        <x:v>0.16</x:v>
      </x:c>
      <x:c r="E50" s="75" t="n">
        <x:v>0.16</x:v>
      </x:c>
      <x:c r="F50" s="75" t="n">
        <x:v>0.16</x:v>
      </x:c>
      <x:c r="G50" s="75" t="n">
        <x:v>0.16</x:v>
      </x:c>
      <x:c r="H50" s="75" t="n">
        <x:v>0.16</x:v>
      </x:c>
      <x:c r="I50" s="2"/>
      <x:c r="J50" s="8"/>
    </x:row>
    <x:row r="51" ht="24" customHeight="1">
      <x:c r="A51" s="2"/>
      <x:c r="B51" s="2" t="str">
        <x:v>Downside</x:v>
      </x:c>
      <x:c r="C51" s="31"/>
      <x:c r="D51" s="75" t="n">
        <x:v>0.145</x:v>
      </x:c>
      <x:c r="E51" s="75" t="n">
        <x:v>0.14</x:v>
      </x:c>
      <x:c r="F51" s="75" t="n">
        <x:v>0.14</x:v>
      </x:c>
      <x:c r="G51" s="75" t="n">
        <x:v>0.145</x:v>
      </x:c>
      <x:c r="H51" s="75" t="n">
        <x:v>0.145</x:v>
      </x:c>
      <x:c r="I51" s="2"/>
      <x:c r="J51" s="8"/>
    </x:row>
    <x:row r="52" ht="22" customHeight="1">
      <x:c r="A52" s="2"/>
      <x:c r="B52" s="2"/>
      <x:c r="C52" s="3"/>
      <x:c r="D52" s="3"/>
      <x:c r="E52" s="3"/>
      <x:c r="F52" s="3"/>
      <x:c r="G52" s="3"/>
      <x:c r="H52" s="3"/>
      <x:c r="I52" s="2"/>
      <x:c r="J52" s="2"/>
    </x:row>
    <x:row r="53" ht="25" customHeight="1">
      <x:c r="A53" s="2"/>
      <x:c r="B53" s="61" t="str">
        <x:v>JB</x:v>
      </x:c>
      <x:c r="C53" s="62"/>
      <x:c r="D53" s="62"/>
      <x:c r="E53" s="62"/>
      <x:c r="F53" s="62"/>
      <x:c r="G53" s="62"/>
      <x:c r="H53" s="62"/>
      <x:c r="I53" s="2"/>
      <x:c r="J53" s="2"/>
    </x:row>
    <x:row r="54" ht="24" customHeight="1">
      <x:c r="A54" s="2"/>
      <x:c r="B54" s="67" t="str">
        <x:v>India growth — active</x:v>
      </x:c>
      <x:c r="C54" s="73" t="n">
        <x:f>'JB forecast'!C8</x:f>
        <x:v>0.19542010064014081</x:v>
      </x:c>
      <x:c r="D54" s="74" t="n">
        <x:f>IF(OR($C$4=1,$C$4=2,$C$4=3),IF(CHOOSE($C$4,ISNUMBER(D55),ISNUMBER(D56),ISNUMBER(D57)),CHOOSE($C$4,D55,D56,D57),NA()),NA())</x:f>
        <x:v>0.13</x:v>
      </x:c>
      <x:c r="E54" s="74" t="n">
        <x:f>IF(OR($C$4=1,$C$4=2,$C$4=3),IF(CHOOSE($C$4,ISNUMBER(E55),ISNUMBER(E56),ISNUMBER(E57)),CHOOSE($C$4,E55,E56,E57),NA()),NA())</x:f>
        <x:v>0.13</x:v>
      </x:c>
      <x:c r="F54" s="74" t="n">
        <x:f>IF(OR($C$4=1,$C$4=2,$C$4=3),IF(CHOOSE($C$4,ISNUMBER(F55),ISNUMBER(F56),ISNUMBER(F57)),CHOOSE($C$4,F55,F56,F57),NA()),NA())</x:f>
        <x:v>0.12</x:v>
      </x:c>
      <x:c r="G54" s="74" t="n">
        <x:f>IF(OR($C$4=1,$C$4=2,$C$4=3),IF(CHOOSE($C$4,ISNUMBER(G55),ISNUMBER(G56),ISNUMBER(G57)),CHOOSE($C$4,G55,G56,G57),NA()),NA())</x:f>
        <x:v>0.11</x:v>
      </x:c>
      <x:c r="H54" s="74" t="n">
        <x:f>IF(OR($C$4=1,$C$4=2,$C$4=3),IF(CHOOSE($C$4,ISNUMBER(H55),ISNUMBER(H56),ISNUMBER(H57)),CHOOSE($C$4,H55,H56,H57),NA()),NA())</x:f>
        <x:v>0.1</x:v>
      </x:c>
      <x:c r="I54" s="2"/>
      <x:c r="J54" s="8" t="str">
        <x:v>Below FY25 domestic growth of 19.5%, avoiding extrapolation of acquired ophthalmology uplift. Base reflects brand growth. J-presentation CEO message; J25 note 31.</x:v>
      </x:c>
    </x:row>
    <x:row r="55" ht="24" customHeight="1">
      <x:c r="A55" s="2"/>
      <x:c r="B55" s="2" t="str">
        <x:v>Base</x:v>
      </x:c>
      <x:c r="C55" s="31"/>
      <x:c r="D55" s="75" t="n">
        <x:v>0.13</x:v>
      </x:c>
      <x:c r="E55" s="75" t="n">
        <x:v>0.13</x:v>
      </x:c>
      <x:c r="F55" s="75" t="n">
        <x:v>0.12</x:v>
      </x:c>
      <x:c r="G55" s="75" t="n">
        <x:v>0.11</x:v>
      </x:c>
      <x:c r="H55" s="75" t="n">
        <x:v>0.1</x:v>
      </x:c>
      <x:c r="I55" s="2"/>
      <x:c r="J55" s="8"/>
    </x:row>
    <x:row r="56" ht="24" customHeight="1">
      <x:c r="A56" s="2"/>
      <x:c r="B56" s="2" t="str">
        <x:v>Upside</x:v>
      </x:c>
      <x:c r="C56" s="31"/>
      <x:c r="D56" s="75" t="n">
        <x:v>0.16</x:v>
      </x:c>
      <x:c r="E56" s="75" t="n">
        <x:v>0.15</x:v>
      </x:c>
      <x:c r="F56" s="75" t="n">
        <x:v>0.14</x:v>
      </x:c>
      <x:c r="G56" s="75" t="n">
        <x:v>0.13</x:v>
      </x:c>
      <x:c r="H56" s="75" t="n">
        <x:v>0.12</x:v>
      </x:c>
      <x:c r="I56" s="2"/>
      <x:c r="J56" s="8"/>
    </x:row>
    <x:row r="57" ht="24" customHeight="1">
      <x:c r="A57" s="2"/>
      <x:c r="B57" s="2" t="str">
        <x:v>Downside</x:v>
      </x:c>
      <x:c r="C57" s="31"/>
      <x:c r="D57" s="75" t="n">
        <x:v>0.08</x:v>
      </x:c>
      <x:c r="E57" s="75" t="n">
        <x:v>0.08</x:v>
      </x:c>
      <x:c r="F57" s="75" t="n">
        <x:v>0.08</x:v>
      </x:c>
      <x:c r="G57" s="75" t="n">
        <x:v>0.07</x:v>
      </x:c>
      <x:c r="H57" s="75" t="n">
        <x:v>0.07</x:v>
      </x:c>
      <x:c r="I57" s="2"/>
      <x:c r="J57" s="8"/>
    </x:row>
    <x:row r="58" ht="22" customHeight="1">
      <x:c r="A58" s="2"/>
      <x:c r="B58" s="2"/>
      <x:c r="C58" s="3"/>
      <x:c r="D58" s="3"/>
      <x:c r="E58" s="3"/>
      <x:c r="F58" s="3"/>
      <x:c r="G58" s="3"/>
      <x:c r="H58" s="3"/>
      <x:c r="I58" s="2"/>
      <x:c r="J58" s="2"/>
    </x:row>
    <x:row r="59" ht="24" customHeight="1">
      <x:c r="A59" s="2"/>
      <x:c r="B59" s="67" t="str">
        <x:v>International formulations and API growth — active</x:v>
      </x:c>
      <x:c r="C59" s="73" t="n">
        <x:f>'JB forecast'!C10</x:f>
        <x:v>0.042178745930666395</x:v>
      </x:c>
      <x:c r="D59" s="74" t="n">
        <x:f>IF(OR($C$4=1,$C$4=2,$C$4=3),IF(CHOOSE($C$4,ISNUMBER(D60),ISNUMBER(D61),ISNUMBER(D62)),CHOOSE($C$4,D60,D61,D62),NA()),NA())</x:f>
        <x:v>0.08</x:v>
      </x:c>
      <x:c r="E59" s="74" t="n">
        <x:f>IF(OR($C$4=1,$C$4=2,$C$4=3),IF(CHOOSE($C$4,ISNUMBER(E60),ISNUMBER(E61),ISNUMBER(E62)),CHOOSE($C$4,E60,E61,E62),NA()),NA())</x:f>
        <x:v>0.08</x:v>
      </x:c>
      <x:c r="F59" s="74" t="n">
        <x:f>IF(OR($C$4=1,$C$4=2,$C$4=3),IF(CHOOSE($C$4,ISNUMBER(F60),ISNUMBER(F61),ISNUMBER(F62)),CHOOSE($C$4,F60,F61,F62),NA()),NA())</x:f>
        <x:v>0.07</x:v>
      </x:c>
      <x:c r="G59" s="74" t="n">
        <x:f>IF(OR($C$4=1,$C$4=2,$C$4=3),IF(CHOOSE($C$4,ISNUMBER(G60),ISNUMBER(G61),ISNUMBER(G62)),CHOOSE($C$4,G60,G61,G62),NA()),NA())</x:f>
        <x:v>0.07</x:v>
      </x:c>
      <x:c r="H59" s="74" t="n">
        <x:f>IF(OR($C$4=1,$C$4=2,$C$4=3),IF(CHOOSE($C$4,ISNUMBER(H60),ISNUMBER(H61),ISNUMBER(H62)),CHOOSE($C$4,H60,H61,H62),NA()),NA())</x:f>
        <x:v>0.06</x:v>
      </x:c>
      <x:c r="I59" s="2"/>
      <x:c r="J59" s="8" t="str">
        <x:v>Total less India and CDMO, so CDMO is not counted twice. Base assumes moderate export growth and API volatility. J25 note 31.</x:v>
      </x:c>
    </x:row>
    <x:row r="60" ht="24" customHeight="1">
      <x:c r="A60" s="2"/>
      <x:c r="B60" s="2" t="str">
        <x:v>Base</x:v>
      </x:c>
      <x:c r="C60" s="31"/>
      <x:c r="D60" s="75" t="n">
        <x:v>0.08</x:v>
      </x:c>
      <x:c r="E60" s="75" t="n">
        <x:v>0.08</x:v>
      </x:c>
      <x:c r="F60" s="75" t="n">
        <x:v>0.07</x:v>
      </x:c>
      <x:c r="G60" s="75" t="n">
        <x:v>0.07</x:v>
      </x:c>
      <x:c r="H60" s="75" t="n">
        <x:v>0.06</x:v>
      </x:c>
      <x:c r="I60" s="2"/>
      <x:c r="J60" s="8"/>
    </x:row>
    <x:row r="61" ht="24" customHeight="1">
      <x:c r="A61" s="2"/>
      <x:c r="B61" s="2" t="str">
        <x:v>Upside</x:v>
      </x:c>
      <x:c r="C61" s="31"/>
      <x:c r="D61" s="75" t="n">
        <x:v>0.11</x:v>
      </x:c>
      <x:c r="E61" s="75" t="n">
        <x:v>0.1</x:v>
      </x:c>
      <x:c r="F61" s="75" t="n">
        <x:v>0.09</x:v>
      </x:c>
      <x:c r="G61" s="75" t="n">
        <x:v>0.09</x:v>
      </x:c>
      <x:c r="H61" s="75" t="n">
        <x:v>0.08</x:v>
      </x:c>
      <x:c r="I61" s="2"/>
      <x:c r="J61" s="8"/>
    </x:row>
    <x:row r="62" ht="24" customHeight="1">
      <x:c r="A62" s="2"/>
      <x:c r="B62" s="2" t="str">
        <x:v>Downside</x:v>
      </x:c>
      <x:c r="C62" s="31"/>
      <x:c r="D62" s="75" t="n">
        <x:v>0.02</x:v>
      </x:c>
      <x:c r="E62" s="75" t="n">
        <x:v>0.03</x:v>
      </x:c>
      <x:c r="F62" s="75" t="n">
        <x:v>0.04</x:v>
      </x:c>
      <x:c r="G62" s="75" t="n">
        <x:v>0.04</x:v>
      </x:c>
      <x:c r="H62" s="75" t="n">
        <x:v>0.04</x:v>
      </x:c>
      <x:c r="I62" s="2"/>
      <x:c r="J62" s="8"/>
    </x:row>
    <x:row r="63" ht="22" customHeight="1">
      <x:c r="A63" s="2"/>
      <x:c r="B63" s="2"/>
      <x:c r="C63" s="3"/>
      <x:c r="D63" s="3"/>
      <x:c r="E63" s="3"/>
      <x:c r="F63" s="3"/>
      <x:c r="G63" s="3"/>
      <x:c r="H63" s="3"/>
      <x:c r="I63" s="2"/>
      <x:c r="J63" s="2"/>
    </x:row>
    <x:row r="64" ht="24" customHeight="1">
      <x:c r="A64" s="2"/>
      <x:c r="B64" s="67" t="str">
        <x:v>CDMO growth — active</x:v>
      </x:c>
      <x:c r="C64" s="73" t="n">
        <x:f>'JB forecast'!C12</x:f>
        <x:v>0.03293444857735062</x:v>
      </x:c>
      <x:c r="D64" s="74" t="n">
        <x:f>IF(OR($C$4=1,$C$4=2,$C$4=3),IF(CHOOSE($C$4,ISNUMBER(D65),ISNUMBER(D66),ISNUMBER(D67)),CHOOSE($C$4,D65,D66,D67),NA()),NA())</x:f>
        <x:v>0.13</x:v>
      </x:c>
      <x:c r="E64" s="74" t="n">
        <x:f>IF(OR($C$4=1,$C$4=2,$C$4=3),IF(CHOOSE($C$4,ISNUMBER(E65),ISNUMBER(E66),ISNUMBER(E67)),CHOOSE($C$4,E65,E66,E67),NA()),NA())</x:f>
        <x:v>0.13</x:v>
      </x:c>
      <x:c r="F64" s="74" t="n">
        <x:f>IF(OR($C$4=1,$C$4=2,$C$4=3),IF(CHOOSE($C$4,ISNUMBER(F65),ISNUMBER(F66),ISNUMBER(F67)),CHOOSE($C$4,F65,F66,F67),NA()),NA())</x:f>
        <x:v>0.12</x:v>
      </x:c>
      <x:c r="G64" s="74" t="n">
        <x:f>IF(OR($C$4=1,$C$4=2,$C$4=3),IF(CHOOSE($C$4,ISNUMBER(G65),ISNUMBER(G66),ISNUMBER(G67)),CHOOSE($C$4,G65,G66,G67),NA()),NA())</x:f>
        <x:v>0.12</x:v>
      </x:c>
      <x:c r="H64" s="74" t="n">
        <x:f>IF(OR($C$4=1,$C$4=2,$C$4=3),IF(CHOOSE($C$4,ISNUMBER(H65),ISNUMBER(H66),ISNUMBER(H67)),CHOOSE($C$4,H65,H66,H67),NA()),NA())</x:f>
        <x:v>0.1</x:v>
      </x:c>
      <x:c r="I64" s="2"/>
      <x:c r="J64" s="8" t="str">
        <x:v>Base assumes recovery after FY25 growth of 3.3%; upside stronger project execution, downside timing delays. J-presentation describes H2 rebound and project opportunities.</x:v>
      </x:c>
    </x:row>
    <x:row r="65" ht="24" customHeight="1">
      <x:c r="A65" s="2"/>
      <x:c r="B65" s="2" t="str">
        <x:v>Base</x:v>
      </x:c>
      <x:c r="C65" s="31"/>
      <x:c r="D65" s="75" t="n">
        <x:v>0.13</x:v>
      </x:c>
      <x:c r="E65" s="75" t="n">
        <x:v>0.13</x:v>
      </x:c>
      <x:c r="F65" s="75" t="n">
        <x:v>0.12</x:v>
      </x:c>
      <x:c r="G65" s="75" t="n">
        <x:v>0.12</x:v>
      </x:c>
      <x:c r="H65" s="75" t="n">
        <x:v>0.1</x:v>
      </x:c>
      <x:c r="I65" s="2"/>
      <x:c r="J65" s="8"/>
    </x:row>
    <x:row r="66" ht="24" customHeight="1">
      <x:c r="A66" s="2"/>
      <x:c r="B66" s="2" t="str">
        <x:v>Upside</x:v>
      </x:c>
      <x:c r="C66" s="31"/>
      <x:c r="D66" s="75" t="n">
        <x:v>0.2</x:v>
      </x:c>
      <x:c r="E66" s="75" t="n">
        <x:v>0.18</x:v>
      </x:c>
      <x:c r="F66" s="75" t="n">
        <x:v>0.16</x:v>
      </x:c>
      <x:c r="G66" s="75" t="n">
        <x:v>0.15</x:v>
      </x:c>
      <x:c r="H66" s="75" t="n">
        <x:v>0.13</x:v>
      </x:c>
      <x:c r="I66" s="2"/>
      <x:c r="J66" s="8"/>
    </x:row>
    <x:row r="67" ht="24" customHeight="1">
      <x:c r="A67" s="2"/>
      <x:c r="B67" s="2" t="str">
        <x:v>Downside</x:v>
      </x:c>
      <x:c r="C67" s="31"/>
      <x:c r="D67" s="75" t="n">
        <x:v>0</x:v>
      </x:c>
      <x:c r="E67" s="75" t="n">
        <x:v>0.05</x:v>
      </x:c>
      <x:c r="F67" s="75" t="n">
        <x:v>0.07</x:v>
      </x:c>
      <x:c r="G67" s="75" t="n">
        <x:v>0.08</x:v>
      </x:c>
      <x:c r="H67" s="75" t="n">
        <x:v>0.08</x:v>
      </x:c>
      <x:c r="I67" s="2"/>
      <x:c r="J67" s="8"/>
    </x:row>
    <x:row r="68" ht="22" customHeight="1">
      <x:c r="A68" s="2"/>
      <x:c r="B68" s="2"/>
      <x:c r="C68" s="3"/>
      <x:c r="D68" s="3"/>
      <x:c r="E68" s="3"/>
      <x:c r="F68" s="3"/>
      <x:c r="G68" s="3"/>
      <x:c r="H68" s="3"/>
      <x:c r="I68" s="2"/>
      <x:c r="J68" s="2"/>
    </x:row>
    <x:row r="69" ht="24" customHeight="1">
      <x:c r="A69" s="2"/>
      <x:c r="B69" s="67" t="str">
        <x:v>Operating EBITDA margin — active</x:v>
      </x:c>
      <x:c r="C69" s="73" t="n">
        <x:f>'JB forecast'!C17</x:f>
        <x:v>0.2633592399937049</x:v>
      </x:c>
      <x:c r="D69" s="74" t="n">
        <x:f>IF(OR($C$4=1,$C$4=2,$C$4=3),IF(CHOOSE($C$4,ISNUMBER(D70),ISNUMBER(D71),ISNUMBER(D72)),CHOOSE($C$4,D70,D71,D72),NA()),NA())</x:f>
        <x:v>0.268</x:v>
      </x:c>
      <x:c r="E69" s="74" t="n">
        <x:f>IF(OR($C$4=1,$C$4=2,$C$4=3),IF(CHOOSE($C$4,ISNUMBER(E70),ISNUMBER(E71),ISNUMBER(E72)),CHOOSE($C$4,E70,E71,E72),NA()),NA())</x:f>
        <x:v>0.273</x:v>
      </x:c>
      <x:c r="F69" s="74" t="n">
        <x:f>IF(OR($C$4=1,$C$4=2,$C$4=3),IF(CHOOSE($C$4,ISNUMBER(F70),ISNUMBER(F71),ISNUMBER(F72)),CHOOSE($C$4,F70,F71,F72),NA()),NA())</x:f>
        <x:v>0.278</x:v>
      </x:c>
      <x:c r="G69" s="74" t="n">
        <x:f>IF(OR($C$4=1,$C$4=2,$C$4=3),IF(CHOOSE($C$4,ISNUMBER(G70),ISNUMBER(G71),ISNUMBER(G72)),CHOOSE($C$4,G70,G71,G72),NA()),NA())</x:f>
        <x:v>0.282</x:v>
      </x:c>
      <x:c r="H69" s="74" t="n">
        <x:f>IF(OR($C$4=1,$C$4=2,$C$4=3),IF(CHOOSE($C$4,ISNUMBER(H70),ISNUMBER(H71),ISNUMBER(H72)),CHOOSE($C$4,H70,H71,H72),NA()),NA())</x:f>
        <x:v>0.285</x:v>
      </x:c>
      <x:c r="I69" s="2"/>
      <x:c r="J69" s="8" t="str">
        <x:v>FY25 26.3% after ESOP. Base gains reflect mix and scale. ESOP remains an economic expense; no ESOP add-back or merger synergy. J25 P&amp;L; J-presentation.</x:v>
      </x:c>
    </x:row>
    <x:row r="70" ht="24" customHeight="1">
      <x:c r="A70" s="2"/>
      <x:c r="B70" s="2" t="str">
        <x:v>Base</x:v>
      </x:c>
      <x:c r="C70" s="31"/>
      <x:c r="D70" s="75" t="n">
        <x:v>0.268</x:v>
      </x:c>
      <x:c r="E70" s="75" t="n">
        <x:v>0.273</x:v>
      </x:c>
      <x:c r="F70" s="75" t="n">
        <x:v>0.278</x:v>
      </x:c>
      <x:c r="G70" s="75" t="n">
        <x:v>0.282</x:v>
      </x:c>
      <x:c r="H70" s="75" t="n">
        <x:v>0.285</x:v>
      </x:c>
      <x:c r="I70" s="2"/>
      <x:c r="J70" s="8"/>
    </x:row>
    <x:row r="71" ht="24" customHeight="1">
      <x:c r="A71" s="2"/>
      <x:c r="B71" s="2" t="str">
        <x:v>Upside</x:v>
      </x:c>
      <x:c r="C71" s="31"/>
      <x:c r="D71" s="75" t="n">
        <x:v>0.275</x:v>
      </x:c>
      <x:c r="E71" s="75" t="n">
        <x:v>0.285</x:v>
      </x:c>
      <x:c r="F71" s="75" t="n">
        <x:v>0.295</x:v>
      </x:c>
      <x:c r="G71" s="75" t="n">
        <x:v>0.3</x:v>
      </x:c>
      <x:c r="H71" s="75" t="n">
        <x:v>0.305</x:v>
      </x:c>
      <x:c r="I71" s="2"/>
      <x:c r="J71" s="8"/>
    </x:row>
    <x:row r="72" ht="24" customHeight="1">
      <x:c r="A72" s="2"/>
      <x:c r="B72" s="2" t="str">
        <x:v>Downside</x:v>
      </x:c>
      <x:c r="C72" s="31"/>
      <x:c r="D72" s="75" t="n">
        <x:v>0.245</x:v>
      </x:c>
      <x:c r="E72" s="75" t="n">
        <x:v>0.25</x:v>
      </x:c>
      <x:c r="F72" s="75" t="n">
        <x:v>0.255</x:v>
      </x:c>
      <x:c r="G72" s="75" t="n">
        <x:v>0.26</x:v>
      </x:c>
      <x:c r="H72" s="75" t="n">
        <x:v>0.265</x:v>
      </x:c>
      <x:c r="I72" s="2"/>
      <x:c r="J72" s="8"/>
    </x:row>
    <x:row r="73" ht="22" customHeight="1">
      <x:c r="A73" s="2"/>
      <x:c r="B73" s="2"/>
      <x:c r="C73" s="3"/>
      <x:c r="D73" s="3"/>
      <x:c r="E73" s="3"/>
      <x:c r="F73" s="3"/>
      <x:c r="G73" s="3"/>
      <x:c r="H73" s="3"/>
      <x:c r="I73" s="2"/>
      <x:c r="J73" s="2"/>
    </x:row>
    <x:row r="74" ht="24" customHeight="1">
      <x:c r="A74" s="2"/>
      <x:c r="B74" s="67" t="str">
        <x:v>D&amp;A / revenue — active</x:v>
      </x:c>
      <x:c r="C74" s="73" t="n">
        <x:f>'JB forecast'!C19</x:f>
        <x:v>0.04365426178115985</x:v>
      </x:c>
      <x:c r="D74" s="74" t="n">
        <x:f>IF(OR($C$4=1,$C$4=2,$C$4=3),IF(CHOOSE($C$4,ISNUMBER(D75),ISNUMBER(D76),ISNUMBER(D77)),CHOOSE($C$4,D75,D76,D77),NA()),NA())</x:f>
        <x:v>0.042</x:v>
      </x:c>
      <x:c r="E74" s="74" t="n">
        <x:f>IF(OR($C$4=1,$C$4=2,$C$4=3),IF(CHOOSE($C$4,ISNUMBER(E75),ISNUMBER(E76),ISNUMBER(E77)),CHOOSE($C$4,E75,E76,E77),NA()),NA())</x:f>
        <x:v>0.04</x:v>
      </x:c>
      <x:c r="F74" s="74" t="n">
        <x:f>IF(OR($C$4=1,$C$4=2,$C$4=3),IF(CHOOSE($C$4,ISNUMBER(F75),ISNUMBER(F76),ISNUMBER(F77)),CHOOSE($C$4,F75,F76,F77),NA()),NA())</x:f>
        <x:v>0.038</x:v>
      </x:c>
      <x:c r="G74" s="74" t="n">
        <x:f>IF(OR($C$4=1,$C$4=2,$C$4=3),IF(CHOOSE($C$4,ISNUMBER(G75),ISNUMBER(G76),ISNUMBER(G77)),CHOOSE($C$4,G75,G76,G77),NA()),NA())</x:f>
        <x:v>0.037000000000000005</x:v>
      </x:c>
      <x:c r="H74" s="74" t="n">
        <x:f>IF(OR($C$4=1,$C$4=2,$C$4=3),IF(CHOOSE($C$4,ISNUMBER(H75),ISNUMBER(H76),ISNUMBER(H77)),CHOOSE($C$4,H75,H76,H77),NA()),NA())</x:f>
        <x:v>0.035</x:v>
      </x:c>
      <x:c r="I74" s="2"/>
      <x:c r="J74" s="8" t="str">
        <x:v>FY25 4.4%. Ratio proxy for existing assets / brand amortisation. No new acquired-brand amortisation is assumed. J25 P&amp;L.</x:v>
      </x:c>
    </x:row>
    <x:row r="75" ht="24" customHeight="1">
      <x:c r="A75" s="2"/>
      <x:c r="B75" s="2" t="str">
        <x:v>Base</x:v>
      </x:c>
      <x:c r="C75" s="31"/>
      <x:c r="D75" s="75" t="n">
        <x:v>0.042</x:v>
      </x:c>
      <x:c r="E75" s="75" t="n">
        <x:v>0.04</x:v>
      </x:c>
      <x:c r="F75" s="75" t="n">
        <x:v>0.038</x:v>
      </x:c>
      <x:c r="G75" s="75" t="n">
        <x:v>0.037000000000000005</x:v>
      </x:c>
      <x:c r="H75" s="75" t="n">
        <x:v>0.035</x:v>
      </x:c>
      <x:c r="I75" s="2"/>
      <x:c r="J75" s="8"/>
    </x:row>
    <x:row r="76" ht="24" customHeight="1">
      <x:c r="A76" s="2"/>
      <x:c r="B76" s="2" t="str">
        <x:v>Upside</x:v>
      </x:c>
      <x:c r="C76" s="31"/>
      <x:c r="D76" s="75" t="n">
        <x:v>0.04</x:v>
      </x:c>
      <x:c r="E76" s="75" t="n">
        <x:v>0.038</x:v>
      </x:c>
      <x:c r="F76" s="75" t="n">
        <x:v>0.036000000000000004</x:v>
      </x:c>
      <x:c r="G76" s="75" t="n">
        <x:v>0.034</x:v>
      </x:c>
      <x:c r="H76" s="75" t="n">
        <x:v>0.033</x:v>
      </x:c>
      <x:c r="I76" s="2"/>
      <x:c r="J76" s="8"/>
    </x:row>
    <x:row r="77" ht="24" customHeight="1">
      <x:c r="A77" s="2"/>
      <x:c r="B77" s="2" t="str">
        <x:v>Downside</x:v>
      </x:c>
      <x:c r="C77" s="31"/>
      <x:c r="D77" s="75" t="n">
        <x:v>0.045</x:v>
      </x:c>
      <x:c r="E77" s="75" t="n">
        <x:v>0.045</x:v>
      </x:c>
      <x:c r="F77" s="75" t="n">
        <x:v>0.044000000000000004</x:v>
      </x:c>
      <x:c r="G77" s="75" t="n">
        <x:v>0.043</x:v>
      </x:c>
      <x:c r="H77" s="75" t="n">
        <x:v>0.042</x:v>
      </x:c>
      <x:c r="I77" s="2"/>
      <x:c r="J77" s="8"/>
    </x:row>
    <x:row r="78" ht="22" customHeight="1">
      <x:c r="A78" s="2"/>
      <x:c r="B78" s="2"/>
      <x:c r="C78" s="3"/>
      <x:c r="D78" s="3"/>
      <x:c r="E78" s="3"/>
      <x:c r="F78" s="3"/>
      <x:c r="G78" s="3"/>
      <x:c r="H78" s="3"/>
      <x:c r="I78" s="2"/>
      <x:c r="J78" s="2"/>
    </x:row>
    <x:row r="79" ht="24" customHeight="1">
      <x:c r="A79" s="2"/>
      <x:c r="B79" s="67" t="str">
        <x:v>Operating tax rate — active</x:v>
      </x:c>
      <x:c r="C79" s="73" t="n">
        <x:f>'JB forecast'!C22</x:f>
        <x:v>0.256718454400515</x:v>
      </x:c>
      <x:c r="D79" s="74" t="n">
        <x:f>IF(OR($C$4=1,$C$4=2,$C$4=3),IF(CHOOSE($C$4,ISNUMBER(D80),ISNUMBER(D81),ISNUMBER(D82)),CHOOSE($C$4,D80,D81,D82),NA()),NA())</x:f>
        <x:v>0.26</x:v>
      </x:c>
      <x:c r="E79" s="74" t="n">
        <x:f>IF(OR($C$4=1,$C$4=2,$C$4=3),IF(CHOOSE($C$4,ISNUMBER(E80),ISNUMBER(E81),ISNUMBER(E82)),CHOOSE($C$4,E80,E81,E82),NA()),NA())</x:f>
        <x:v>0.26</x:v>
      </x:c>
      <x:c r="F79" s="74" t="n">
        <x:f>IF(OR($C$4=1,$C$4=2,$C$4=3),IF(CHOOSE($C$4,ISNUMBER(F80),ISNUMBER(F81),ISNUMBER(F82)),CHOOSE($C$4,F80,F81,F82),NA()),NA())</x:f>
        <x:v>0.26</x:v>
      </x:c>
      <x:c r="G79" s="74" t="n">
        <x:f>IF(OR($C$4=1,$C$4=2,$C$4=3),IF(CHOOSE($C$4,ISNUMBER(G80),ISNUMBER(G81),ISNUMBER(G82)),CHOOSE($C$4,G80,G81,G82),NA()),NA())</x:f>
        <x:v>0.26</x:v>
      </x:c>
      <x:c r="H79" s="74" t="n">
        <x:f>IF(OR($C$4=1,$C$4=2,$C$4=3),IF(CHOOSE($C$4,ISNUMBER(H80),ISNUMBER(H81),ISNUMBER(H82)),CHOOSE($C$4,H80,H81,H82),NA()),NA())</x:f>
        <x:v>0.26</x:v>
      </x:c>
      <x:c r="I79" s="2"/>
      <x:c r="J79" s="8" t="str">
        <x:v>Analyst cash-tax proxy near FY25 effective rate of 25.7%, applied to positive EBIT. J25 P&amp;L.</x:v>
      </x:c>
    </x:row>
    <x:row r="80" ht="24" customHeight="1">
      <x:c r="A80" s="2"/>
      <x:c r="B80" s="2" t="str">
        <x:v>Base</x:v>
      </x:c>
      <x:c r="C80" s="31"/>
      <x:c r="D80" s="75" t="n">
        <x:v>0.26</x:v>
      </x:c>
      <x:c r="E80" s="75" t="n">
        <x:v>0.26</x:v>
      </x:c>
      <x:c r="F80" s="75" t="n">
        <x:v>0.26</x:v>
      </x:c>
      <x:c r="G80" s="75" t="n">
        <x:v>0.26</x:v>
      </x:c>
      <x:c r="H80" s="75" t="n">
        <x:v>0.26</x:v>
      </x:c>
      <x:c r="I80" s="2"/>
      <x:c r="J80" s="8"/>
    </x:row>
    <x:row r="81" ht="24" customHeight="1">
      <x:c r="A81" s="2"/>
      <x:c r="B81" s="2" t="str">
        <x:v>Upside</x:v>
      </x:c>
      <x:c r="C81" s="31"/>
      <x:c r="D81" s="75" t="n">
        <x:v>0.255</x:v>
      </x:c>
      <x:c r="E81" s="75" t="n">
        <x:v>0.255</x:v>
      </x:c>
      <x:c r="F81" s="75" t="n">
        <x:v>0.255</x:v>
      </x:c>
      <x:c r="G81" s="75" t="n">
        <x:v>0.255</x:v>
      </x:c>
      <x:c r="H81" s="75" t="n">
        <x:v>0.255</x:v>
      </x:c>
      <x:c r="I81" s="2"/>
      <x:c r="J81" s="8"/>
    </x:row>
    <x:row r="82" ht="24" customHeight="1">
      <x:c r="A82" s="2"/>
      <x:c r="B82" s="2" t="str">
        <x:v>Downside</x:v>
      </x:c>
      <x:c r="C82" s="31"/>
      <x:c r="D82" s="75" t="n">
        <x:v>0.27</x:v>
      </x:c>
      <x:c r="E82" s="75" t="n">
        <x:v>0.27</x:v>
      </x:c>
      <x:c r="F82" s="75" t="n">
        <x:v>0.27</x:v>
      </x:c>
      <x:c r="G82" s="75" t="n">
        <x:v>0.27</x:v>
      </x:c>
      <x:c r="H82" s="75" t="n">
        <x:v>0.27</x:v>
      </x:c>
      <x:c r="I82" s="2"/>
      <x:c r="J82" s="8"/>
    </x:row>
    <x:row r="83" ht="22" customHeight="1">
      <x:c r="A83" s="2"/>
      <x:c r="B83" s="2"/>
      <x:c r="C83" s="3"/>
      <x:c r="D83" s="3"/>
      <x:c r="E83" s="3"/>
      <x:c r="F83" s="3"/>
      <x:c r="G83" s="3"/>
      <x:c r="H83" s="3"/>
      <x:c r="I83" s="2"/>
      <x:c r="J83" s="2"/>
    </x:row>
    <x:row r="84" ht="24" customHeight="1">
      <x:c r="A84" s="2"/>
      <x:c r="B84" s="67" t="str">
        <x:v>Recurring capex / revenue — active</x:v>
      </x:c>
      <x:c r="C84" s="73" t="n">
        <x:f>'JB forecast'!C38</x:f>
        <x:v>0.03070608730204065</x:v>
      </x:c>
      <x:c r="D84" s="74" t="n">
        <x:f>IF(OR($C$4=1,$C$4=2,$C$4=3),IF(CHOOSE($C$4,ISNUMBER(D85),ISNUMBER(D86),ISNUMBER(D87)),CHOOSE($C$4,D85,D86,D87),NA()),NA())</x:f>
        <x:v>0.03</x:v>
      </x:c>
      <x:c r="E84" s="74" t="n">
        <x:f>IF(OR($C$4=1,$C$4=2,$C$4=3),IF(CHOOSE($C$4,ISNUMBER(E85),ISNUMBER(E86),ISNUMBER(E87)),CHOOSE($C$4,E85,E86,E87),NA()),NA())</x:f>
        <x:v>0.03</x:v>
      </x:c>
      <x:c r="F84" s="74" t="n">
        <x:f>IF(OR($C$4=1,$C$4=2,$C$4=3),IF(CHOOSE($C$4,ISNUMBER(F85),ISNUMBER(F86),ISNUMBER(F87)),CHOOSE($C$4,F85,F86,F87),NA()),NA())</x:f>
        <x:v>0.03</x:v>
      </x:c>
      <x:c r="G84" s="74" t="n">
        <x:f>IF(OR($C$4=1,$C$4=2,$C$4=3),IF(CHOOSE($C$4,ISNUMBER(G85),ISNUMBER(G86),ISNUMBER(G87)),CHOOSE($C$4,G85,G86,G87),NA()),NA())</x:f>
        <x:v>0.03</x:v>
      </x:c>
      <x:c r="H84" s="74" t="n">
        <x:f>IF(OR($C$4=1,$C$4=2,$C$4=3),IF(CHOOSE($C$4,ISNUMBER(H85),ISNUMBER(H86),ISNUMBER(H87)),CHOOSE($C$4,H85,H86,H87),NA()),NA())</x:f>
        <x:v>0.03</x:v>
      </x:c>
      <x:c r="I84" s="2"/>
      <x:c r="J84" s="8" t="str">
        <x:v>FY25 PPE + intangibles = 3.1% of revenue; PPE alone 2.5%. Base funds ordinary reinvestment. FY22–23 acquired brands are not recurring capex. J25 CF.</x:v>
      </x:c>
    </x:row>
    <x:row r="85" ht="24" customHeight="1">
      <x:c r="A85" s="2"/>
      <x:c r="B85" s="2" t="str">
        <x:v>Base</x:v>
      </x:c>
      <x:c r="C85" s="31"/>
      <x:c r="D85" s="75" t="n">
        <x:v>0.03</x:v>
      </x:c>
      <x:c r="E85" s="75" t="n">
        <x:v>0.03</x:v>
      </x:c>
      <x:c r="F85" s="75" t="n">
        <x:v>0.03</x:v>
      </x:c>
      <x:c r="G85" s="75" t="n">
        <x:v>0.03</x:v>
      </x:c>
      <x:c r="H85" s="75" t="n">
        <x:v>0.03</x:v>
      </x:c>
      <x:c r="I85" s="2"/>
      <x:c r="J85" s="8"/>
    </x:row>
    <x:row r="86" ht="24" customHeight="1">
      <x:c r="A86" s="2"/>
      <x:c r="B86" s="2" t="str">
        <x:v>Upside</x:v>
      </x:c>
      <x:c r="C86" s="31"/>
      <x:c r="D86" s="75" t="n">
        <x:v>0.03</x:v>
      </x:c>
      <x:c r="E86" s="75" t="n">
        <x:v>0.03</x:v>
      </x:c>
      <x:c r="F86" s="75" t="n">
        <x:v>0.03</x:v>
      </x:c>
      <x:c r="G86" s="75" t="n">
        <x:v>0.03</x:v>
      </x:c>
      <x:c r="H86" s="75" t="n">
        <x:v>0.03</x:v>
      </x:c>
      <x:c r="I86" s="2"/>
      <x:c r="J86" s="8"/>
    </x:row>
    <x:row r="87" ht="24" customHeight="1">
      <x:c r="A87" s="2"/>
      <x:c r="B87" s="2" t="str">
        <x:v>Downside</x:v>
      </x:c>
      <x:c r="C87" s="31"/>
      <x:c r="D87" s="75" t="n">
        <x:v>0.035</x:v>
      </x:c>
      <x:c r="E87" s="75" t="n">
        <x:v>0.035</x:v>
      </x:c>
      <x:c r="F87" s="75" t="n">
        <x:v>0.035</x:v>
      </x:c>
      <x:c r="G87" s="75" t="n">
        <x:v>0.035</x:v>
      </x:c>
      <x:c r="H87" s="75" t="n">
        <x:v>0.035</x:v>
      </x:c>
      <x:c r="I87" s="2"/>
      <x:c r="J87" s="8"/>
    </x:row>
    <x:row r="88" ht="22" customHeight="1">
      <x:c r="A88" s="2"/>
      <x:c r="B88" s="2"/>
      <x:c r="C88" s="3"/>
      <x:c r="D88" s="3"/>
      <x:c r="E88" s="3"/>
      <x:c r="F88" s="3"/>
      <x:c r="G88" s="3"/>
      <x:c r="H88" s="3"/>
      <x:c r="I88" s="2"/>
      <x:c r="J88" s="2"/>
    </x:row>
    <x:row r="89" ht="24" customHeight="1">
      <x:c r="A89" s="2"/>
      <x:c r="B89" s="67" t="str">
        <x:v>Inventory / revenue — active</x:v>
      </x:c>
      <x:c r="C89" s="73" t="n">
        <x:f>'JB forecast'!C27</x:f>
        <x:v>0.13500685019859426</x:v>
      </x:c>
      <x:c r="D89" s="74" t="n">
        <x:f>IF(OR($C$4=1,$C$4=2,$C$4=3),IF(CHOOSE($C$4,ISNUMBER(D90),ISNUMBER(D91),ISNUMBER(D92)),CHOOSE($C$4,D90,D91,D92),NA()),NA())</x:f>
        <x:v>0.135</x:v>
      </x:c>
      <x:c r="E89" s="74" t="n">
        <x:f>IF(OR($C$4=1,$C$4=2,$C$4=3),IF(CHOOSE($C$4,ISNUMBER(E90),ISNUMBER(E91),ISNUMBER(E92)),CHOOSE($C$4,E90,E91,E92),NA()),NA())</x:f>
        <x:v>0.133</x:v>
      </x:c>
      <x:c r="F89" s="74" t="n">
        <x:f>IF(OR($C$4=1,$C$4=2,$C$4=3),IF(CHOOSE($C$4,ISNUMBER(F90),ISNUMBER(F91),ISNUMBER(F92)),CHOOSE($C$4,F90,F91,F92),NA()),NA())</x:f>
        <x:v>0.13</x:v>
      </x:c>
      <x:c r="G89" s="74" t="n">
        <x:f>IF(OR($C$4=1,$C$4=2,$C$4=3),IF(CHOOSE($C$4,ISNUMBER(G90),ISNUMBER(G91),ISNUMBER(G92)),CHOOSE($C$4,G90,G91,G92),NA()),NA())</x:f>
        <x:v>0.128</x:v>
      </x:c>
      <x:c r="H89" s="74" t="n">
        <x:f>IF(OR($C$4=1,$C$4=2,$C$4=3),IF(CHOOSE($C$4,ISNUMBER(H90),ISNUMBER(H91),ISNUMBER(H92)),CHOOSE($C$4,H90,H91,H92),NA()),NA())</x:f>
        <x:v>0.125</x:v>
      </x:c>
      <x:c r="I89" s="2"/>
      <x:c r="J89" s="8" t="str">
        <x:v>FY25 13.5%. Base gradual improvement; downside stock build and project timing. J25 BS.</x:v>
      </x:c>
    </x:row>
    <x:row r="90" ht="24" customHeight="1">
      <x:c r="A90" s="2"/>
      <x:c r="B90" s="2" t="str">
        <x:v>Base</x:v>
      </x:c>
      <x:c r="C90" s="31"/>
      <x:c r="D90" s="75" t="n">
        <x:v>0.135</x:v>
      </x:c>
      <x:c r="E90" s="75" t="n">
        <x:v>0.133</x:v>
      </x:c>
      <x:c r="F90" s="75" t="n">
        <x:v>0.13</x:v>
      </x:c>
      <x:c r="G90" s="75" t="n">
        <x:v>0.128</x:v>
      </x:c>
      <x:c r="H90" s="75" t="n">
        <x:v>0.125</x:v>
      </x:c>
      <x:c r="I90" s="2"/>
      <x:c r="J90" s="8"/>
    </x:row>
    <x:row r="91" ht="24" customHeight="1">
      <x:c r="A91" s="2"/>
      <x:c r="B91" s="2" t="str">
        <x:v>Upside</x:v>
      </x:c>
      <x:c r="C91" s="31"/>
      <x:c r="D91" s="75" t="n">
        <x:v>0.13</x:v>
      </x:c>
      <x:c r="E91" s="75" t="n">
        <x:v>0.125</x:v>
      </x:c>
      <x:c r="F91" s="75" t="n">
        <x:v>0.12</x:v>
      </x:c>
      <x:c r="G91" s="75" t="n">
        <x:v>0.115</x:v>
      </x:c>
      <x:c r="H91" s="75" t="n">
        <x:v>0.11</x:v>
      </x:c>
      <x:c r="I91" s="2"/>
      <x:c r="J91" s="8"/>
    </x:row>
    <x:row r="92" ht="24" customHeight="1">
      <x:c r="A92" s="2"/>
      <x:c r="B92" s="2" t="str">
        <x:v>Downside</x:v>
      </x:c>
      <x:c r="C92" s="31"/>
      <x:c r="D92" s="75" t="n">
        <x:v>0.15</x:v>
      </x:c>
      <x:c r="E92" s="75" t="n">
        <x:v>0.155</x:v>
      </x:c>
      <x:c r="F92" s="75" t="n">
        <x:v>0.155</x:v>
      </x:c>
      <x:c r="G92" s="75" t="n">
        <x:v>0.15</x:v>
      </x:c>
      <x:c r="H92" s="75" t="n">
        <x:v>0.145</x:v>
      </x:c>
      <x:c r="I92" s="2"/>
      <x:c r="J92" s="8"/>
    </x:row>
    <x:row r="93" ht="22" customHeight="1">
      <x:c r="A93" s="2"/>
      <x:c r="B93" s="2"/>
      <x:c r="C93" s="3"/>
      <x:c r="D93" s="3"/>
      <x:c r="E93" s="3"/>
      <x:c r="F93" s="3"/>
      <x:c r="G93" s="3"/>
      <x:c r="H93" s="3"/>
      <x:c r="I93" s="2"/>
      <x:c r="J93" s="2"/>
    </x:row>
    <x:row r="94" ht="24" customHeight="1">
      <x:c r="A94" s="2"/>
      <x:c r="B94" s="67" t="str">
        <x:v>Receivables / revenue — active</x:v>
      </x:c>
      <x:c r="C94" s="73" t="n">
        <x:f>'JB forecast'!C29</x:f>
        <x:v>0.20811158051863657</x:v>
      </x:c>
      <x:c r="D94" s="74" t="n">
        <x:f>IF(OR($C$4=1,$C$4=2,$C$4=3),IF(CHOOSE($C$4,ISNUMBER(D95),ISNUMBER(D96),ISNUMBER(D97)),CHOOSE($C$4,D95,D96,D97),NA()),NA())</x:f>
        <x:v>0.205</x:v>
      </x:c>
      <x:c r="E94" s="74" t="n">
        <x:f>IF(OR($C$4=1,$C$4=2,$C$4=3),IF(CHOOSE($C$4,ISNUMBER(E95),ISNUMBER(E96),ISNUMBER(E97)),CHOOSE($C$4,E95,E96,E97),NA()),NA())</x:f>
        <x:v>0.20199999999999999</x:v>
      </x:c>
      <x:c r="F94" s="74" t="n">
        <x:f>IF(OR($C$4=1,$C$4=2,$C$4=3),IF(CHOOSE($C$4,ISNUMBER(F95),ISNUMBER(F96),ISNUMBER(F97)),CHOOSE($C$4,F95,F96,F97),NA()),NA())</x:f>
        <x:v>0.2</x:v>
      </x:c>
      <x:c r="G94" s="74" t="n">
        <x:f>IF(OR($C$4=1,$C$4=2,$C$4=3),IF(CHOOSE($C$4,ISNUMBER(G95),ISNUMBER(G96),ISNUMBER(G97)),CHOOSE($C$4,G95,G96,G97),NA()),NA())</x:f>
        <x:v>0.198</x:v>
      </x:c>
      <x:c r="H94" s="74" t="n">
        <x:f>IF(OR($C$4=1,$C$4=2,$C$4=3),IF(CHOOSE($C$4,ISNUMBER(H95),ISNUMBER(H96),ISNUMBER(H97)),CHOOSE($C$4,H95,H96,H97),NA()),NA())</x:f>
        <x:v>0.195</x:v>
      </x:c>
      <x:c r="I94" s="2"/>
      <x:c r="J94" s="8" t="str">
        <x:v>FY25 20.8%. Base modestly better collection; downside reflects international collection delays. J25 BS.</x:v>
      </x:c>
    </x:row>
    <x:row r="95" ht="24" customHeight="1">
      <x:c r="A95" s="2"/>
      <x:c r="B95" s="2" t="str">
        <x:v>Base</x:v>
      </x:c>
      <x:c r="C95" s="31"/>
      <x:c r="D95" s="75" t="n">
        <x:v>0.205</x:v>
      </x:c>
      <x:c r="E95" s="75" t="n">
        <x:v>0.20199999999999999</x:v>
      </x:c>
      <x:c r="F95" s="75" t="n">
        <x:v>0.2</x:v>
      </x:c>
      <x:c r="G95" s="75" t="n">
        <x:v>0.198</x:v>
      </x:c>
      <x:c r="H95" s="75" t="n">
        <x:v>0.195</x:v>
      </x:c>
      <x:c r="I95" s="2"/>
      <x:c r="J95" s="8"/>
    </x:row>
    <x:row r="96" ht="24" customHeight="1">
      <x:c r="A96" s="2"/>
      <x:c r="B96" s="2" t="str">
        <x:v>Upside</x:v>
      </x:c>
      <x:c r="C96" s="31"/>
      <x:c r="D96" s="75" t="n">
        <x:v>0.2</x:v>
      </x:c>
      <x:c r="E96" s="75" t="n">
        <x:v>0.195</x:v>
      </x:c>
      <x:c r="F96" s="75" t="n">
        <x:v>0.19</x:v>
      </x:c>
      <x:c r="G96" s="75" t="n">
        <x:v>0.185</x:v>
      </x:c>
      <x:c r="H96" s="75" t="n">
        <x:v>0.18</x:v>
      </x:c>
      <x:c r="I96" s="2"/>
      <x:c r="J96" s="8"/>
    </x:row>
    <x:row r="97" ht="24" customHeight="1">
      <x:c r="A97" s="2"/>
      <x:c r="B97" s="2" t="str">
        <x:v>Downside</x:v>
      </x:c>
      <x:c r="C97" s="31"/>
      <x:c r="D97" s="75" t="n">
        <x:v>0.23</x:v>
      </x:c>
      <x:c r="E97" s="75" t="n">
        <x:v>0.235</x:v>
      </x:c>
      <x:c r="F97" s="75" t="n">
        <x:v>0.235</x:v>
      </x:c>
      <x:c r="G97" s="75" t="n">
        <x:v>0.23</x:v>
      </x:c>
      <x:c r="H97" s="75" t="n">
        <x:v>0.225</x:v>
      </x:c>
      <x:c r="I97" s="2"/>
      <x:c r="J97" s="8"/>
    </x:row>
    <x:row r="98" ht="22" customHeight="1">
      <x:c r="A98" s="2"/>
      <x:c r="B98" s="2"/>
      <x:c r="C98" s="3"/>
      <x:c r="D98" s="3"/>
      <x:c r="E98" s="3"/>
      <x:c r="F98" s="3"/>
      <x:c r="G98" s="3"/>
      <x:c r="H98" s="3"/>
      <x:c r="I98" s="2"/>
      <x:c r="J98" s="2"/>
    </x:row>
    <x:row r="99" ht="24" customHeight="1">
      <x:c r="A99" s="2"/>
      <x:c r="B99" s="67" t="str">
        <x:v>Payables / revenue — active</x:v>
      </x:c>
      <x:c r="C99" s="73" t="n">
        <x:f>'JB forecast'!C31</x:f>
        <x:v>0.1048285592255169</x:v>
      </x:c>
      <x:c r="D99" s="74" t="n">
        <x:f>IF(OR($C$4=1,$C$4=2,$C$4=3),IF(CHOOSE($C$4,ISNUMBER(D100),ISNUMBER(D101),ISNUMBER(D102)),CHOOSE($C$4,D100,D101,D102),NA()),NA())</x:f>
        <x:v>0.105</x:v>
      </x:c>
      <x:c r="E99" s="74" t="n">
        <x:f>IF(OR($C$4=1,$C$4=2,$C$4=3),IF(CHOOSE($C$4,ISNUMBER(E100),ISNUMBER(E101),ISNUMBER(E102)),CHOOSE($C$4,E100,E101,E102),NA()),NA())</x:f>
        <x:v>0.105</x:v>
      </x:c>
      <x:c r="F99" s="74" t="n">
        <x:f>IF(OR($C$4=1,$C$4=2,$C$4=3),IF(CHOOSE($C$4,ISNUMBER(F100),ISNUMBER(F101),ISNUMBER(F102)),CHOOSE($C$4,F100,F101,F102),NA()),NA())</x:f>
        <x:v>0.105</x:v>
      </x:c>
      <x:c r="G99" s="74" t="n">
        <x:f>IF(OR($C$4=1,$C$4=2,$C$4=3),IF(CHOOSE($C$4,ISNUMBER(G100),ISNUMBER(G101),ISNUMBER(G102)),CHOOSE($C$4,G100,G101,G102),NA()),NA())</x:f>
        <x:v>0.105</x:v>
      </x:c>
      <x:c r="H99" s="74" t="n">
        <x:f>IF(OR($C$4=1,$C$4=2,$C$4=3),IF(CHOOSE($C$4,ISNUMBER(H100),ISNUMBER(H101),ISNUMBER(H102)),CHOOSE($C$4,H100,H101,H102),NA()),NA())</x:f>
        <x:v>0.105</x:v>
      </x:c>
      <x:c r="I99" s="2"/>
      <x:c r="J99" s="8" t="str">
        <x:v>FY25 10.5%. Base holds supplier funding; upside modest improvement; downside tighter terms. J25 BS.</x:v>
      </x:c>
    </x:row>
    <x:row r="100" ht="24" customHeight="1">
      <x:c r="A100" s="2"/>
      <x:c r="B100" s="2" t="str">
        <x:v>Base</x:v>
      </x:c>
      <x:c r="C100" s="31"/>
      <x:c r="D100" s="75" t="n">
        <x:v>0.105</x:v>
      </x:c>
      <x:c r="E100" s="75" t="n">
        <x:v>0.105</x:v>
      </x:c>
      <x:c r="F100" s="75" t="n">
        <x:v>0.105</x:v>
      </x:c>
      <x:c r="G100" s="75" t="n">
        <x:v>0.105</x:v>
      </x:c>
      <x:c r="H100" s="75" t="n">
        <x:v>0.105</x:v>
      </x:c>
      <x:c r="I100" s="2"/>
      <x:c r="J100" s="8"/>
    </x:row>
    <x:row r="101" ht="24" customHeight="1">
      <x:c r="A101" s="2"/>
      <x:c r="B101" s="2" t="str">
        <x:v>Upside</x:v>
      </x:c>
      <x:c r="C101" s="31"/>
      <x:c r="D101" s="75" t="n">
        <x:v>0.11</x:v>
      </x:c>
      <x:c r="E101" s="75" t="n">
        <x:v>0.11</x:v>
      </x:c>
      <x:c r="F101" s="75" t="n">
        <x:v>0.11</x:v>
      </x:c>
      <x:c r="G101" s="75" t="n">
        <x:v>0.11</x:v>
      </x:c>
      <x:c r="H101" s="75" t="n">
        <x:v>0.11</x:v>
      </x:c>
      <x:c r="I101" s="2"/>
      <x:c r="J101" s="8"/>
    </x:row>
    <x:row r="102" ht="24" customHeight="1">
      <x:c r="A102" s="2"/>
      <x:c r="B102" s="2" t="str">
        <x:v>Downside</x:v>
      </x:c>
      <x:c r="C102" s="31"/>
      <x:c r="D102" s="75" t="n">
        <x:v>0.095</x:v>
      </x:c>
      <x:c r="E102" s="75" t="n">
        <x:v>0.09</x:v>
      </x:c>
      <x:c r="F102" s="75" t="n">
        <x:v>0.09</x:v>
      </x:c>
      <x:c r="G102" s="75" t="n">
        <x:v>0.095</x:v>
      </x:c>
      <x:c r="H102" s="75" t="n">
        <x:v>0.095</x:v>
      </x:c>
      <x:c r="I102" s="2"/>
      <x:c r="J102" s="8"/>
    </x:row>
    <x:row r="103" ht="22" customHeight="1">
      <x:c r="A103" s="2"/>
      <x:c r="B103" s="2"/>
      <x:c r="C103" s="3"/>
      <x:c r="D103" s="3"/>
      <x:c r="E103" s="3"/>
      <x:c r="F103" s="3"/>
      <x:c r="G103" s="3"/>
      <x:c r="H103" s="3"/>
      <x:c r="I103" s="2"/>
      <x:c r="J103" s="2"/>
    </x:row>
    <x:row r="104" ht="25" customHeight="1">
      <x:c r="A104" s="2"/>
      <x:c r="B104" s="61" t="str">
        <x:v>ASSUMPTION BASIS AND SOURCES</x:v>
      </x:c>
      <x:c r="C104" s="62"/>
      <x:c r="D104" s="62"/>
      <x:c r="E104" s="62"/>
      <x:c r="F104" s="62"/>
      <x:c r="G104" s="62"/>
      <x:c r="H104" s="62"/>
      <x:c r="I104" s="2"/>
      <x:c r="J104" s="2"/>
    </x:row>
    <x:row r="105" ht="44" customHeight="1">
      <x:c r="A105" s="2"/>
      <x:c r="B105" s="8" t="str">
        <x:v>All blue forecast rates are analyst estimates. FY25 calibration links to the existing audited historical base. Read each driver across the five years; switching C4 changes both companies through one set of calculations.</x:v>
      </x:c>
      <x:c r="C105" s="9"/>
      <x:c r="D105" s="9"/>
      <x:c r="E105" s="9"/>
      <x:c r="F105" s="9"/>
      <x:c r="G105" s="9"/>
      <x:c r="H105" s="9"/>
      <x:c r="I105" s="2"/>
      <x:c r="J105" s="2"/>
    </x:row>
    <x:row r="106" ht="44" customHeight="1">
      <x:c r="A106" s="2"/>
      <x:c r="B106" s="8" t="str">
        <x:v>T-call: Torrent Q4 FY25 earnings call, 20 May 2025, pp2–6. Domestic momentum, international recovery, and additional R&amp;D spending inform direction; no exact forecast rate is represented as company guidance.</x:v>
      </x:c>
      <x:c r="C106" s="9"/>
      <x:c r="D106" s="9"/>
      <x:c r="E106" s="9"/>
      <x:c r="F106" s="9"/>
      <x:c r="G106" s="9"/>
      <x:c r="H106" s="9"/>
      <x:c r="I106" s="2"/>
      <x:c r="J106" s="2"/>
    </x:row>
    <x:row r="107" ht="44" customHeight="1">
      <x:c r="A107" s="2"/>
      <x:c r="B107" s="8" t="str">
        <x:v>https://www.torrentpharma.com/assets/TorrentPharma-Earnings-May20-2025.pdf</x:v>
      </x:c>
      <x:c r="C107" s="9"/>
      <x:c r="D107" s="9"/>
      <x:c r="E107" s="9"/>
      <x:c r="F107" s="9"/>
      <x:c r="G107" s="9"/>
      <x:c r="H107" s="9"/>
      <x:c r="I107" s="2"/>
      <x:c r="J107" s="2"/>
    </x:row>
    <x:row r="108" ht="44" customHeight="1">
      <x:c r="A108" s="2"/>
      <x:c r="B108" s="8" t="str">
        <x:v>J-presentation: JB Q4 FY25 investor presentation, CEO message. India and CDMO expansion / project execution support the scenario design. The base case is our estimate.</x:v>
      </x:c>
      <x:c r="C108" s="9"/>
      <x:c r="D108" s="9"/>
      <x:c r="E108" s="9"/>
      <x:c r="F108" s="9"/>
      <x:c r="G108" s="9"/>
      <x:c r="H108" s="9"/>
      <x:c r="I108" s="2"/>
      <x:c r="J108" s="2"/>
    </x:row>
    <x:row r="109" ht="44" customHeight="1">
      <x:c r="A109" s="2"/>
      <x:c r="B109" s="8" t="str">
        <x:v>https://jbpharma.com/download/q4-fy25-investor-presentation/?wpdmdl=10324</x:v>
      </x:c>
      <x:c r="C109" s="9"/>
      <x:c r="D109" s="9"/>
      <x:c r="E109" s="9"/>
      <x:c r="F109" s="9"/>
      <x:c r="G109" s="9"/>
      <x:c r="H109" s="9"/>
      <x:c r="I109" s="2"/>
      <x:c r="J109" s="2"/>
    </x:row>
    <x:row r="110" ht="44" customHeight="1">
      <x:c r="A110" s="2"/>
      <x:c r="B110" s="8" t="str">
        <x:v>T25 and J25: FY25 annual reports, as cited in the original input tabs. Later publication is used only for historical reconciliation. No FY26 actual result is used to calibrate a forecast.</x:v>
      </x:c>
      <x:c r="C110" s="9"/>
      <x:c r="D110" s="9"/>
      <x:c r="E110" s="9"/>
      <x:c r="F110" s="9"/>
      <x:c r="G110" s="9"/>
      <x:c r="H110" s="9"/>
      <x:c r="I110" s="2"/>
      <x:c r="J110" s="2"/>
    </x:row>
    <x:row r="111" ht="44" customHeight="1">
      <x:c r="A111" s="2"/>
      <x:c r="B111" s="8" t="str">
        <x:v>https://www.torrentpharma.com/pdf/investors/AR-2024-25_Single_page_view.pdf</x:v>
      </x:c>
      <x:c r="C111" s="9"/>
      <x:c r="D111" s="9"/>
      <x:c r="E111" s="9"/>
      <x:c r="F111" s="9"/>
      <x:c r="G111" s="9"/>
      <x:c r="H111" s="9"/>
      <x:c r="I111" s="2"/>
      <x:c r="J111" s="2"/>
    </x:row>
    <x:row r="112" ht="44" customHeight="1">
      <x:c r="A112" s="2"/>
      <x:c r="B112" s="8" t="str">
        <x:v>https://jbpharma.com/download/fy25-annual-report/?wpdmdl=10520</x:v>
      </x:c>
      <x:c r="C112" s="9"/>
      <x:c r="D112" s="9"/>
      <x:c r="E112" s="9"/>
      <x:c r="F112" s="9"/>
      <x:c r="G112" s="9"/>
      <x:c r="H112" s="9"/>
      <x:c r="I112" s="2"/>
      <x:c r="J112" s="2"/>
    </x:row>
    <x:row r="113" ht="22" customHeight="1">
      <x:c r="A113" s="2"/>
      <x:c r="B113" s="2"/>
      <x:c r="C113" s="3"/>
      <x:c r="D113" s="3"/>
      <x:c r="E113" s="3"/>
      <x:c r="F113" s="3"/>
      <x:c r="G113" s="3"/>
      <x:c r="H113" s="3"/>
      <x:c r="I113" s="2"/>
      <x:c r="J113" s="2"/>
    </x:row>
    <x:row r="114" ht="22" customHeight="1">
      <x:c r="A114" s="2"/>
      <x:c r="B114" s="2"/>
      <x:c r="C114" s="3"/>
      <x:c r="D114" s="3"/>
      <x:c r="E114" s="3"/>
      <x:c r="F114" s="3"/>
      <x:c r="G114" s="3"/>
      <x:c r="H114" s="3"/>
      <x:c r="I114" s="2"/>
      <x:c r="J114" s="2"/>
    </x:row>
    <x:row r="115" ht="22" customHeight="1">
      <x:c r="A115" s="2"/>
      <x:c r="B115" s="2"/>
      <x:c r="C115" s="3"/>
      <x:c r="D115" s="3"/>
      <x:c r="E115" s="3"/>
      <x:c r="F115" s="3"/>
      <x:c r="G115" s="3"/>
      <x:c r="H115" s="3"/>
      <x:c r="I115" s="2"/>
      <x:c r="J115" s="2"/>
    </x:row>
    <x:row r="116" ht="22" customHeight="1">
      <x:c r="A116" s="2"/>
      <x:c r="B116" s="2"/>
      <x:c r="C116" s="3"/>
      <x:c r="D116" s="3"/>
      <x:c r="E116" s="3"/>
      <x:c r="F116" s="3"/>
      <x:c r="G116" s="3"/>
      <x:c r="H116" s="3"/>
      <x:c r="I116" s="2"/>
      <x:c r="J116" s="2"/>
    </x:row>
    <x:row r="117" ht="22" customHeight="1">
      <x:c r="A117" s="2"/>
      <x:c r="B117" s="2"/>
      <x:c r="C117" s="3"/>
      <x:c r="D117" s="3"/>
      <x:c r="E117" s="3"/>
      <x:c r="F117" s="3"/>
      <x:c r="G117" s="3"/>
      <x:c r="H117" s="3"/>
      <x:c r="I117" s="2"/>
      <x:c r="J117" s="2"/>
    </x:row>
    <x:row r="118" ht="22" customHeight="1">
      <x:c r="A118" s="2"/>
      <x:c r="B118" s="2"/>
      <x:c r="C118" s="3"/>
      <x:c r="D118" s="3"/>
      <x:c r="E118" s="3"/>
      <x:c r="F118" s="3"/>
      <x:c r="G118" s="3"/>
      <x:c r="H118" s="3"/>
      <x:c r="I118" s="2"/>
      <x:c r="J118" s="2"/>
    </x:row>
    <x:row r="119" ht="22" customHeight="1">
      <x:c r="A119" s="2"/>
      <x:c r="B119" s="2"/>
      <x:c r="C119" s="3"/>
      <x:c r="D119" s="3"/>
      <x:c r="E119" s="3"/>
      <x:c r="F119" s="3"/>
      <x:c r="G119" s="3"/>
      <x:c r="H119" s="3"/>
      <x:c r="I119" s="2"/>
      <x:c r="J119" s="2"/>
    </x:row>
    <x:row r="120" ht="22" customHeight="1">
      <x:c r="A120" s="2"/>
      <x:c r="B120" s="2"/>
      <x:c r="C120" s="3"/>
      <x:c r="D120" s="3"/>
      <x:c r="E120" s="3"/>
      <x:c r="F120" s="3"/>
      <x:c r="G120" s="3"/>
      <x:c r="H120" s="3"/>
      <x:c r="I120" s="2"/>
      <x:c r="J120" s="2"/>
    </x:row>
    <x:row r="121" ht="22" customHeight="1">
      <x:c r="A121" s="2"/>
      <x:c r="B121" s="2"/>
      <x:c r="C121" s="3"/>
      <x:c r="D121" s="3"/>
      <x:c r="E121" s="3"/>
      <x:c r="F121" s="3"/>
      <x:c r="G121" s="3"/>
      <x:c r="H121" s="3"/>
      <x:c r="I121" s="2"/>
      <x:c r="J121" s="2"/>
    </x:row>
    <x:row r="122" ht="22" customHeight="1">
      <x:c r="A122" s="2"/>
      <x:c r="B122" s="2"/>
      <x:c r="C122" s="3"/>
      <x:c r="D122" s="3"/>
      <x:c r="E122" s="3"/>
      <x:c r="F122" s="3"/>
      <x:c r="G122" s="3"/>
      <x:c r="H122" s="3"/>
      <x:c r="I122" s="2"/>
      <x:c r="J122" s="2"/>
    </x:row>
    <x:row r="123" ht="22" customHeight="1">
      <x:c r="A123" s="2"/>
      <x:c r="B123" s="2"/>
      <x:c r="C123" s="3"/>
      <x:c r="D123" s="3"/>
      <x:c r="E123" s="3"/>
      <x:c r="F123" s="3"/>
      <x:c r="G123" s="3"/>
      <x:c r="H123" s="3"/>
      <x:c r="I123" s="2"/>
      <x:c r="J123" s="2"/>
    </x:row>
    <x:row r="124" ht="22" customHeight="1">
      <x:c r="A124" s="2"/>
      <x:c r="B124" s="2"/>
      <x:c r="C124" s="3"/>
      <x:c r="D124" s="3"/>
      <x:c r="E124" s="3"/>
      <x:c r="F124" s="3"/>
      <x:c r="G124" s="3"/>
      <x:c r="H124" s="3"/>
      <x:c r="I124" s="2"/>
      <x:c r="J124" s="2"/>
    </x:row>
    <x:row r="125" ht="22" customHeight="1">
      <x:c r="A125" s="2"/>
      <x:c r="B125" s="2"/>
      <x:c r="C125" s="3"/>
      <x:c r="D125" s="3"/>
      <x:c r="E125" s="3"/>
      <x:c r="F125" s="3"/>
      <x:c r="G125" s="3"/>
      <x:c r="H125" s="3"/>
      <x:c r="I125" s="2"/>
      <x:c r="J125" s="2"/>
    </x:row>
    <x:row r="126" ht="22" customHeight="1">
      <x:c r="A126" s="2"/>
      <x:c r="B126" s="2"/>
      <x:c r="C126" s="3"/>
      <x:c r="D126" s="3"/>
      <x:c r="E126" s="3"/>
      <x:c r="F126" s="3"/>
      <x:c r="G126" s="3"/>
      <x:c r="H126" s="3"/>
      <x:c r="I126" s="2"/>
      <x:c r="J126" s="2"/>
    </x:row>
    <x:row r="127" ht="22" customHeight="1">
      <x:c r="A127" s="2"/>
      <x:c r="B127" s="2"/>
      <x:c r="C127" s="3"/>
      <x:c r="D127" s="3"/>
      <x:c r="E127" s="3"/>
      <x:c r="F127" s="3"/>
      <x:c r="G127" s="3"/>
      <x:c r="H127" s="3"/>
      <x:c r="I127" s="2"/>
      <x:c r="J127" s="2"/>
    </x:row>
    <x:row r="128" ht="22" customHeight="1">
      <x:c r="A128" s="2"/>
      <x:c r="B128" s="2"/>
      <x:c r="C128" s="3"/>
      <x:c r="D128" s="3"/>
      <x:c r="E128" s="3"/>
      <x:c r="F128" s="3"/>
      <x:c r="G128" s="3"/>
      <x:c r="H128" s="3"/>
      <x:c r="I128" s="2"/>
      <x:c r="J128" s="2"/>
    </x:row>
    <x:row r="129" ht="22" customHeight="1">
      <x:c r="A129" s="2"/>
      <x:c r="B129" s="2"/>
      <x:c r="C129" s="3"/>
      <x:c r="D129" s="3"/>
      <x:c r="E129" s="3"/>
      <x:c r="F129" s="3"/>
      <x:c r="G129" s="3"/>
      <x:c r="H129" s="3"/>
      <x:c r="I129" s="2"/>
      <x:c r="J129" s="2"/>
    </x:row>
    <x:row r="130" ht="22" customHeight="1">
      <x:c r="A130" s="2"/>
      <x:c r="B130" s="2"/>
      <x:c r="C130" s="3"/>
      <x:c r="D130" s="3"/>
      <x:c r="E130" s="3"/>
      <x:c r="F130" s="3"/>
      <x:c r="G130" s="3"/>
      <x:c r="H130" s="3"/>
      <x:c r="I130" s="2"/>
      <x:c r="J130" s="2"/>
    </x:row>
    <x:row r="131" ht="22" customHeight="1">
      <x:c r="A131" s="2"/>
      <x:c r="B131" s="2"/>
      <x:c r="C131" s="3"/>
      <x:c r="D131" s="3"/>
      <x:c r="E131" s="3"/>
      <x:c r="F131" s="3"/>
      <x:c r="G131" s="3"/>
      <x:c r="H131" s="3"/>
      <x:c r="I131" s="2"/>
      <x:c r="J131" s="2"/>
    </x:row>
    <x:row r="132" ht="22" customHeight="1">
      <x:c r="A132" s="2"/>
      <x:c r="B132" s="2"/>
      <x:c r="C132" s="3"/>
      <x:c r="D132" s="3"/>
      <x:c r="E132" s="3"/>
      <x:c r="F132" s="3"/>
      <x:c r="G132" s="3"/>
      <x:c r="H132" s="3"/>
      <x:c r="I132" s="2"/>
      <x:c r="J132" s="2"/>
    </x:row>
    <x:row r="133" ht="22" customHeight="1">
      <x:c r="A133" s="2"/>
      <x:c r="B133" s="2"/>
      <x:c r="C133" s="3"/>
      <x:c r="D133" s="3"/>
      <x:c r="E133" s="3"/>
      <x:c r="F133" s="3"/>
      <x:c r="G133" s="3"/>
      <x:c r="H133" s="3"/>
      <x:c r="I133" s="2"/>
      <x:c r="J133" s="2"/>
    </x:row>
    <x:row r="134" ht="22" customHeight="1">
      <x:c r="A134" s="2"/>
      <x:c r="B134" s="2"/>
      <x:c r="C134" s="3"/>
      <x:c r="D134" s="3"/>
      <x:c r="E134" s="3"/>
      <x:c r="F134" s="3"/>
      <x:c r="G134" s="3"/>
      <x:c r="H134" s="3"/>
      <x:c r="I134" s="2"/>
      <x:c r="J134" s="2"/>
    </x:row>
    <x:row r="135" ht="22" customHeight="1">
      <x:c r="A135" s="2"/>
      <x:c r="B135" s="2"/>
      <x:c r="C135" s="3"/>
      <x:c r="D135" s="3"/>
      <x:c r="E135" s="3"/>
      <x:c r="F135" s="3"/>
      <x:c r="G135" s="3"/>
      <x:c r="H135" s="3"/>
      <x:c r="I135" s="2"/>
      <x:c r="J135" s="2"/>
    </x:row>
  </x:sheetData>
  <x:mergeCells>
    <x:mergeCell ref="B2:H2"/>
    <x:mergeCell ref="B3:H3"/>
    <x:mergeCell ref="E4:H4"/>
    <x:mergeCell ref="B7:H7"/>
    <x:mergeCell ref="J8:J11"/>
    <x:mergeCell ref="J13:J16"/>
    <x:mergeCell ref="J18:J21"/>
    <x:mergeCell ref="J23:J26"/>
    <x:mergeCell ref="J28:J31"/>
    <x:mergeCell ref="J33:J36"/>
    <x:mergeCell ref="J38:J41"/>
    <x:mergeCell ref="J43:J46"/>
    <x:mergeCell ref="J48:J51"/>
    <x:mergeCell ref="B53:H53"/>
    <x:mergeCell ref="J54:J57"/>
    <x:mergeCell ref="J59:J62"/>
    <x:mergeCell ref="J64:J67"/>
    <x:mergeCell ref="J69:J72"/>
    <x:mergeCell ref="J74:J77"/>
    <x:mergeCell ref="J79:J82"/>
    <x:mergeCell ref="J84:J87"/>
    <x:mergeCell ref="J89:J92"/>
    <x:mergeCell ref="J94:J97"/>
    <x:mergeCell ref="J99:J102"/>
    <x:mergeCell ref="B104:H104"/>
    <x:mergeCell ref="B105:H105"/>
    <x:mergeCell ref="B106:H106"/>
    <x:mergeCell ref="B107:H107"/>
    <x:mergeCell ref="B108:H108"/>
    <x:mergeCell ref="B109:H109"/>
    <x:mergeCell ref="B110:H110"/>
    <x:mergeCell ref="B111:H111"/>
    <x:mergeCell ref="B112:H112"/>
  </x:mergeCells>
  <x:dataValidations count="1">
    <x:dataValidation type="whole" operator="between" sqref="C4">
      <x:formula1>1</x:formula1>
      <x:formula2>3</x:formula2>
    </x:dataValidation>
  </x:dataValidations>
  <x:pageMargins left="0.7" right="0.7" top="0.75" bottom="0.75" header="0.3" footer="0.3"/>
</x:worksheet>
</file>

<file path=xl/worksheets/sheet9.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Torrent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'Torrent inputs'!G67/'Torrent inputs'!$C$64</x:f>
        <x:v>6393</x:v>
      </x:c>
      <x:c r="D7" s="41" t="n">
        <x:f>C7*(1+D8)</x:f>
        <x:v>7096.2300000000005</x:v>
      </x:c>
      <x:c r="E7" s="41" t="n">
        <x:f>D7*(1+E8)</x:f>
        <x:v>7876.815300000001</x:v>
      </x:c>
      <x:c r="F7" s="41" t="n">
        <x:f>E7*(1+F8)</x:f>
        <x:v>8664.496830000002</x:v>
      </x:c>
      <x:c r="G7" s="41" t="n">
        <x:f>F7*(1+G8)</x:f>
        <x:v>9530.946513000003</x:v>
      </x:c>
      <x:c r="H7" s="41" t="n">
        <x:f>G7*(1+H8)</x:f>
        <x:v>10388.731699170003</x:v>
      </x:c>
      <x:c r="I7" s="2"/>
      <x:c r="J7" s="2"/>
    </x:row>
    <x:row r="8" ht="22" customHeight="1">
      <x:c r="A8" s="2"/>
      <x:c r="B8" s="30" t="str">
        <x:v>India growth</x:v>
      </x:c>
      <x:c r="C8" s="77" t="n">
        <x:f>'Torrent inputs'!G67/'Torrent inputs'!F67-1</x:f>
        <x:v>0.12830921284857033</x:v>
      </x:c>
      <x:c r="D8" s="77" t="n">
        <x:f>Assumptions!D8</x:f>
        <x:v>0.11</x:v>
      </x:c>
      <x:c r="E8" s="77" t="n">
        <x:f>Assumptions!E8</x:f>
        <x:v>0.11</x:v>
      </x:c>
      <x:c r="F8" s="77" t="n">
        <x:f>Assumptions!F8</x:f>
        <x:v>0.1</x:v>
      </x:c>
      <x:c r="G8" s="77" t="n">
        <x:f>Assumptions!G8</x:f>
        <x:v>0.1</x:v>
      </x:c>
      <x:c r="H8" s="77" t="n">
        <x:f>Assumptions!H8</x:f>
        <x:v>0.09</x:v>
      </x:c>
      <x:c r="I8" s="2"/>
      <x:c r="J8" s="2"/>
    </x:row>
    <x:row r="9" ht="22" customHeight="1">
      <x:c r="A9" s="2"/>
      <x:c r="B9" s="38" t="str">
        <x:v>International and other revenue</x:v>
      </x:c>
      <x:c r="C9" s="41" t="n">
        <x:f>C13-C7-C11</x:f>
        <x:v>5123.09</x:v>
      </x:c>
      <x:c r="D9" s="41" t="n">
        <x:f>C9*(1+D10)</x:f>
        <x:v>5481.706300000001</x:v>
      </x:c>
      <x:c r="E9" s="41" t="n">
        <x:f>D9*(1+E10)</x:f>
        <x:v>5865.425741000001</x:v>
      </x:c>
      <x:c r="F9" s="41" t="n">
        <x:f>E9*(1+F10)</x:f>
        <x:v>6276.005542870002</x:v>
      </x:c>
      <x:c r="G9" s="41" t="n">
        <x:f>F9*(1+G10)</x:f>
        <x:v>6652.565875442202</x:v>
      </x:c>
      <x:c r="H9" s="41" t="n">
        <x:f>G9*(1+H10)</x:f>
        <x:v>7051.7198279687345</x:v>
      </x:c>
      <x:c r="I9" s="2"/>
      <x:c r="J9" s="2"/>
    </x:row>
    <x:row r="10" ht="22" customHeight="1">
      <x:c r="A10" s="2"/>
      <x:c r="B10" s="30" t="str">
        <x:v>International and other growth</x:v>
      </x:c>
      <x:c r="C10" s="77" t="n">
        <x:f>C9/('Torrent history'!F7-'Torrent inputs'!F67/'Torrent inputs'!$C$64)-1</x:f>
        <x:v>0.012100342958291765</x:v>
      </x:c>
      <x:c r="D10" s="77" t="n">
        <x:f>Assumptions!D13</x:f>
        <x:v>0.07</x:v>
      </x:c>
      <x:c r="E10" s="77" t="n">
        <x:f>Assumptions!E13</x:f>
        <x:v>0.07</x:v>
      </x:c>
      <x:c r="F10" s="77" t="n">
        <x:f>Assumptions!F13</x:f>
        <x:v>0.07</x:v>
      </x:c>
      <x:c r="G10" s="77" t="n">
        <x:f>Assumptions!G13</x:f>
        <x:v>0.06</x:v>
      </x:c>
      <x:c r="H10" s="77" t="n">
        <x:f>Assumptions!H13</x:f>
        <x:v>0.06</x:v>
      </x:c>
      <x:c r="I10" s="2"/>
      <x:c r="J10" s="2"/>
    </x:row>
    <x:row r="11" ht="22" customHeight="1">
      <x:c r="A11" s="2"/>
      <x:c r="B11" s="38" t="str">
        <x:v>CDMO revenue</x:v>
      </x:c>
      <x:c r="C11" s="41" t="n">
        <x:f>0</x:f>
        <x:v>0</x:v>
      </x:c>
      <x:c r="D11" s="41" t="n">
        <x:f>0</x:f>
        <x:v>0</x:v>
      </x:c>
      <x:c r="E11" s="41" t="n">
        <x:f>0</x:f>
        <x:v>0</x:v>
      </x:c>
      <x:c r="F11" s="41" t="n">
        <x:f>0</x:f>
        <x:v>0</x:v>
      </x:c>
      <x:c r="G11" s="41" t="n">
        <x:f>0</x:f>
        <x:v>0</x:v>
      </x:c>
      <x:c r="H11" s="41" t="n">
        <x:f>0</x:f>
        <x:v>0</x:v>
      </x:c>
      <x:c r="I11" s="2"/>
      <x:c r="J11" s="2"/>
    </x:row>
    <x:row r="12" ht="22" customHeight="1">
      <x:c r="A12" s="2"/>
      <x:c r="B12" s="30" t="str">
        <x:v>CDMO growth</x:v>
      </x:c>
      <x:c r="C12" s="31" t="str">
        <x:v>n/a</x:v>
      </x:c>
      <x:c r="D12" s="31" t="str">
        <x:v>n/a</x:v>
      </x:c>
      <x:c r="E12" s="31" t="str">
        <x:v>n/a</x:v>
      </x:c>
      <x:c r="F12" s="31" t="str">
        <x:v>n/a</x:v>
      </x:c>
      <x:c r="G12" s="31" t="str">
        <x:v>n/a</x:v>
      </x:c>
      <x:c r="H12" s="31" t="str">
        <x:v>n/a</x:v>
      </x:c>
      <x:c r="I12" s="2"/>
      <x:c r="J12" s="2"/>
    </x:row>
    <x:row r="13" ht="22" customHeight="1">
      <x:c r="A13" s="2"/>
      <x:c r="B13" s="38" t="str">
        <x:v>Total revenue</x:v>
      </x:c>
      <x:c r="C13" s="39" t="n">
        <x:f>'Torrent history'!G7</x:f>
        <x:v>11516.09</x:v>
      </x:c>
      <x:c r="D13" s="41" t="n">
        <x:f>SUM(D7,D9,D11)</x:f>
        <x:v>12577.936300000001</x:v>
      </x:c>
      <x:c r="E13" s="41" t="n">
        <x:f>SUM(E7,E9,E11)</x:f>
        <x:v>13742.241041000001</x:v>
      </x:c>
      <x:c r="F13" s="41" t="n">
        <x:f>SUM(F7,F9,F11)</x:f>
        <x:v>14940.502372870003</x:v>
      </x:c>
      <x:c r="G13" s="41" t="n">
        <x:f>SUM(G7,G9,G11)</x:f>
        <x:v>16183.512388442205</x:v>
      </x:c>
      <x:c r="H13" s="41" t="n">
        <x:f>SUM(H7,H9,H11)</x:f>
        <x:v>17440.451527138735</x:v>
      </x:c>
      <x:c r="I13" s="2"/>
      <x:c r="J13" s="2"/>
    </x:row>
    <x:row r="14" ht="22" customHeight="1">
      <x:c r="A14" s="2"/>
      <x:c r="B14" s="30" t="str">
        <x:v>Total revenue growth</x:v>
      </x:c>
      <x:c r="C14" s="77" t="n">
        <x:f>'Torrent history'!G8</x:f>
        <x:v>0.07347704663753385</x:v>
      </x:c>
      <x:c r="D14" s="31" t="n">
        <x:f>D13/C13-1</x:f>
        <x:v>0.09220545341344155</x:v>
      </x:c>
      <x:c r="E14" s="31" t="n">
        <x:f>E13/D13-1</x:f>
        <x:v>0.0925672314781878</x:v>
      </x:c>
      <x:c r="F14" s="31" t="n">
        <x:f>F13/E13-1</x:f>
        <x:v>0.08719548203928218</x:v>
      </x:c>
      <x:c r="G14" s="31" t="n">
        <x:f>G13/F13-1</x:f>
        <x:v>0.0831973373150654</x:v>
      </x:c>
      <x:c r="H14" s="31" t="n">
        <x:f>H13/G13-1</x:f>
        <x:v>0.07766788250455448</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'Torrent history'!G15</x:f>
        <x:v>0.3231122716130215</x:v>
      </x:c>
      <x:c r="D17" s="77" t="n">
        <x:f>Assumptions!D18</x:f>
        <x:v>0.325</x:v>
      </x:c>
      <x:c r="E17" s="77" t="n">
        <x:f>Assumptions!E18</x:f>
        <x:v>0.33</x:v>
      </x:c>
      <x:c r="F17" s="77" t="n">
        <x:f>Assumptions!F18</x:f>
        <x:v>0.335</x:v>
      </x:c>
      <x:c r="G17" s="77" t="n">
        <x:f>Assumptions!G18</x:f>
        <x:v>0.34</x:v>
      </x:c>
      <x:c r="H17" s="77" t="n">
        <x:f>Assumptions!H18</x:f>
        <x:v>0.345</x:v>
      </x:c>
      <x:c r="I17" s="2"/>
      <x:c r="J17" s="2"/>
    </x:row>
    <x:row r="18" ht="22" customHeight="1">
      <x:c r="A18" s="2"/>
      <x:c r="B18" s="38" t="str">
        <x:v>Operating EBITDA</x:v>
      </x:c>
      <x:c r="C18" s="39" t="n">
        <x:f>'Torrent history'!G14</x:f>
        <x:v>3720.9900000000007</x:v>
      </x:c>
      <x:c r="D18" s="41" t="n">
        <x:f>D13*D17</x:f>
        <x:v>4087.8292975000004</x:v>
      </x:c>
      <x:c r="E18" s="41" t="n">
        <x:f>E13*E17</x:f>
        <x:v>4534.93954353</x:v>
      </x:c>
      <x:c r="F18" s="41" t="n">
        <x:f>F13*F17</x:f>
        <x:v>5005.068294911452</x:v>
      </x:c>
      <x:c r="G18" s="41" t="n">
        <x:f>G13*G17</x:f>
        <x:v>5502.39421207035</x:v>
      </x:c>
      <x:c r="H18" s="41" t="n">
        <x:f>H13*H17</x:f>
        <x:v>6016.955776862863</x:v>
      </x:c>
      <x:c r="I18" s="2"/>
      <x:c r="J18" s="2"/>
    </x:row>
    <x:row r="19" ht="22" customHeight="1">
      <x:c r="A19" s="2"/>
      <x:c r="B19" s="30" t="str">
        <x:v>D&amp;A / revenue</x:v>
      </x:c>
      <x:c r="C19" s="77" t="n">
        <x:f>'Torrent history'!G19/'Torrent history'!G7</x:f>
        <x:v>0.06902776897367074</x:v>
      </x:c>
      <x:c r="D19" s="77" t="n">
        <x:f>Assumptions!D23</x:f>
        <x:v>0.068</x:v>
      </x:c>
      <x:c r="E19" s="77" t="n">
        <x:f>Assumptions!E23</x:f>
        <x:v>0.065</x:v>
      </x:c>
      <x:c r="F19" s="77" t="n">
        <x:f>Assumptions!F23</x:f>
        <x:v>0.062</x:v>
      </x:c>
      <x:c r="G19" s="77" t="n">
        <x:f>Assumptions!G23</x:f>
        <x:v>0.06</x:v>
      </x:c>
      <x:c r="H19" s="77" t="n">
        <x:f>Assumptions!H23</x:f>
        <x:v>0.057999999999999996</x:v>
      </x:c>
      <x:c r="I19" s="2"/>
      <x:c r="J19" s="2"/>
    </x:row>
    <x:row r="20" ht="22" customHeight="1">
      <x:c r="A20" s="2"/>
      <x:c r="B20" s="2" t="str">
        <x:v>Depreciation and amortisation</x:v>
      </x:c>
      <x:c r="C20" s="28" t="n">
        <x:f>'Torrent history'!G19</x:f>
        <x:v>794.93</x:v>
      </x:c>
      <x:c r="D20" s="3" t="n">
        <x:f>D13*D19</x:f>
        <x:v>855.2996684000002</x:v>
      </x:c>
      <x:c r="E20" s="3" t="n">
        <x:f>E13*E19</x:f>
        <x:v>893.2456676650002</x:v>
      </x:c>
      <x:c r="F20" s="3" t="n">
        <x:f>F13*F19</x:f>
        <x:v>926.3111471179402</x:v>
      </x:c>
      <x:c r="G20" s="3" t="n">
        <x:f>G13*G19</x:f>
        <x:v>971.0107433065323</x:v>
      </x:c>
      <x:c r="H20" s="3" t="n">
        <x:f>H13*H19</x:f>
        <x:v>1011.5461885740466</x:v>
      </x:c>
      <x:c r="I20" s="2"/>
      <x:c r="J20" s="2"/>
    </x:row>
    <x:row r="21" ht="22" customHeight="1">
      <x:c r="A21" s="2"/>
      <x:c r="B21" s="38" t="str">
        <x:v>Operating EBIT</x:v>
      </x:c>
      <x:c r="C21" s="39" t="n">
        <x:f>'Torrent history'!G20</x:f>
        <x:v>2926.060000000001</x:v>
      </x:c>
      <x:c r="D21" s="41" t="n">
        <x:f>D18-D20</x:f>
        <x:v>3232.5296291000004</x:v>
      </x:c>
      <x:c r="E21" s="41" t="n">
        <x:f>E18-E20</x:f>
        <x:v>3641.6938758650003</x:v>
      </x:c>
      <x:c r="F21" s="41" t="n">
        <x:f>F18-F20</x:f>
        <x:v>4078.7571477935116</x:v>
      </x:c>
      <x:c r="G21" s="41" t="n">
        <x:f>G18-G20</x:f>
        <x:v>4531.383468763817</x:v>
      </x:c>
      <x:c r="H21" s="41" t="n">
        <x:f>H18-H20</x:f>
        <x:v>5005.409588288816</x:v>
      </x:c>
      <x:c r="I21" s="2"/>
      <x:c r="J21" s="2"/>
    </x:row>
    <x:row r="22" ht="22" customHeight="1">
      <x:c r="A22" s="2"/>
      <x:c r="B22" s="30" t="str">
        <x:v>Operating tax rate</x:v>
      </x:c>
      <x:c r="C22" s="77" t="n">
        <x:f>'Torrent history'!G26</x:f>
        <x:v>0.2849285957475465</x:v>
      </x:c>
      <x:c r="D22" s="77" t="n">
        <x:f>Assumptions!D28</x:f>
        <x:v>0.28</x:v>
      </x:c>
      <x:c r="E22" s="77" t="n">
        <x:f>Assumptions!E28</x:f>
        <x:v>0.28</x:v>
      </x:c>
      <x:c r="F22" s="77" t="n">
        <x:f>Assumptions!F28</x:f>
        <x:v>0.28</x:v>
      </x:c>
      <x:c r="G22" s="77" t="n">
        <x:f>Assumptions!G28</x:f>
        <x:v>0.28</x:v>
      </x:c>
      <x:c r="H22" s="77" t="n">
        <x:f>Assumptions!H28</x:f>
        <x:v>0.28</x:v>
      </x:c>
      <x:c r="I22" s="2"/>
      <x:c r="J22" s="2"/>
    </x:row>
    <x:row r="23" ht="22" customHeight="1">
      <x:c r="A23" s="2"/>
      <x:c r="B23" s="2" t="str">
        <x:v>Estimated tax on operating profit</x:v>
      </x:c>
      <x:c r="C23" s="3" t="n">
        <x:f>MAX(C21,0)*C22</x:f>
        <x:v>833.7181668730661</x:v>
      </x:c>
      <x:c r="D23" s="3" t="n">
        <x:f>MAX(D21,0)*D22</x:f>
        <x:v>905.1082961480002</x:v>
      </x:c>
      <x:c r="E23" s="3" t="n">
        <x:f>MAX(E21,0)*E22</x:f>
        <x:v>1019.6742852422002</x:v>
      </x:c>
      <x:c r="F23" s="3" t="n">
        <x:f>MAX(F21,0)*F22</x:f>
        <x:v>1142.0520013821833</x:v>
      </x:c>
      <x:c r="G23" s="3" t="n">
        <x:f>MAX(G21,0)*G22</x:f>
        <x:v>1268.787371253869</x:v>
      </x:c>
      <x:c r="H23" s="3" t="n">
        <x:f>MAX(H21,0)*H22</x:f>
        <x:v>1401.5146847208687</x:v>
      </x:c>
      <x:c r="I23" s="2"/>
      <x:c r="J23" s="2"/>
    </x:row>
    <x:row r="24" ht="22" customHeight="1">
      <x:c r="A24" s="2"/>
      <x:c r="B24" s="38" t="str">
        <x:v>Net operating profit after tax</x:v>
      </x:c>
      <x:c r="C24" s="41" t="n">
        <x:f>C21-C23</x:f>
        <x:v>2092.341833126935</x:v>
      </x:c>
      <x:c r="D24" s="41" t="n">
        <x:f>D21-D23</x:f>
        <x:v>2327.4213329520003</x:v>
      </x:c>
      <x:c r="E24" s="41" t="n">
        <x:f>E21-E23</x:f>
        <x:v>2622.0195906228</x:v>
      </x:c>
      <x:c r="F24" s="41" t="n">
        <x:f>F21-F23</x:f>
        <x:v>2936.7051464113283</x:v>
      </x:c>
      <x:c r="G24" s="41" t="n">
        <x:f>G21-G23</x:f>
        <x:v>3262.5960975099483</x:v>
      </x:c>
      <x:c r="H24" s="41" t="n">
        <x:f>H21-H23</x:f>
        <x:v>3603.894903567947</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'Torrent history'!G32/'Torrent history'!G7</x:f>
        <x:v>0.2206695154344921</x:v>
      </x:c>
      <x:c r="D27" s="77" t="n">
        <x:f>Assumptions!D38</x:f>
        <x:v>0.22</x:v>
      </x:c>
      <x:c r="E27" s="77" t="n">
        <x:f>Assumptions!E38</x:f>
        <x:v>0.215</x:v>
      </x:c>
      <x:c r="F27" s="77" t="n">
        <x:f>Assumptions!F38</x:f>
        <x:v>0.21</x:v>
      </x:c>
      <x:c r="G27" s="77" t="n">
        <x:f>Assumptions!G38</x:f>
        <x:v>0.205</x:v>
      </x:c>
      <x:c r="H27" s="77" t="n">
        <x:f>Assumptions!H38</x:f>
        <x:v>0.2</x:v>
      </x:c>
      <x:c r="I27" s="2"/>
      <x:c r="J27" s="2"/>
    </x:row>
    <x:row r="28" ht="22" customHeight="1">
      <x:c r="A28" s="2"/>
      <x:c r="B28" s="2" t="str">
        <x:v>Inventories</x:v>
      </x:c>
      <x:c r="C28" s="28" t="n">
        <x:f>'Torrent history'!G32</x:f>
        <x:v>2541.25</x:v>
      </x:c>
      <x:c r="D28" s="3" t="n">
        <x:f>D13*D27</x:f>
        <x:v>2767.1459860000004</x:v>
      </x:c>
      <x:c r="E28" s="3" t="n">
        <x:f>E13*E27</x:f>
        <x:v>2954.581823815</x:v>
      </x:c>
      <x:c r="F28" s="3" t="n">
        <x:f>F13*F27</x:f>
        <x:v>3137.5054983027007</x:v>
      </x:c>
      <x:c r="G28" s="3" t="n">
        <x:f>G13*G27</x:f>
        <x:v>3317.6200396306517</x:v>
      </x:c>
      <x:c r="H28" s="3" t="n">
        <x:f>H13*H27</x:f>
        <x:v>3488.0903054277474</x:v>
      </x:c>
      <x:c r="I28" s="2"/>
      <x:c r="J28" s="2"/>
    </x:row>
    <x:row r="29" ht="22" customHeight="1">
      <x:c r="A29" s="2"/>
      <x:c r="B29" s="30" t="str">
        <x:v>Receivables / revenue</x:v>
      </x:c>
      <x:c r="C29" s="77" t="n">
        <x:f>'Torrent history'!G33/'Torrent history'!G7</x:f>
        <x:v>0.1620732383994915</x:v>
      </x:c>
      <x:c r="D29" s="77" t="n">
        <x:f>Assumptions!D43</x:f>
        <x:v>0.16</x:v>
      </x:c>
      <x:c r="E29" s="77" t="n">
        <x:f>Assumptions!E43</x:f>
        <x:v>0.158</x:v>
      </x:c>
      <x:c r="F29" s="77" t="n">
        <x:f>Assumptions!F43</x:f>
        <x:v>0.155</x:v>
      </x:c>
      <x:c r="G29" s="77" t="n">
        <x:f>Assumptions!G43</x:f>
        <x:v>0.153</x:v>
      </x:c>
      <x:c r="H29" s="77" t="n">
        <x:f>Assumptions!H43</x:f>
        <x:v>0.15</x:v>
      </x:c>
      <x:c r="I29" s="2"/>
      <x:c r="J29" s="2"/>
    </x:row>
    <x:row r="30" ht="22" customHeight="1">
      <x:c r="A30" s="2"/>
      <x:c r="B30" s="2" t="str">
        <x:v>Trade receivables</x:v>
      </x:c>
      <x:c r="C30" s="28" t="n">
        <x:f>'Torrent history'!G33</x:f>
        <x:v>1866.45</x:v>
      </x:c>
      <x:c r="D30" s="3" t="n">
        <x:f>D13*D29</x:f>
        <x:v>2012.4698080000003</x:v>
      </x:c>
      <x:c r="E30" s="3" t="n">
        <x:f>E13*E29</x:f>
        <x:v>2171.274084478</x:v>
      </x:c>
      <x:c r="F30" s="3" t="n">
        <x:f>F13*F29</x:f>
        <x:v>2315.7778677948504</x:v>
      </x:c>
      <x:c r="G30" s="3" t="n">
        <x:f>G13*G29</x:f>
        <x:v>2476.0773954316574</x:v>
      </x:c>
      <x:c r="H30" s="3" t="n">
        <x:f>H13*H29</x:f>
        <x:v>2616.0677290708104</x:v>
      </x:c>
      <x:c r="I30" s="2"/>
      <x:c r="J30" s="2"/>
    </x:row>
    <x:row r="31" ht="22" customHeight="1">
      <x:c r="A31" s="2"/>
      <x:c r="B31" s="30" t="str">
        <x:v>Payables / revenue</x:v>
      </x:c>
      <x:c r="C31" s="77" t="n">
        <x:f>'Torrent history'!G34/'Torrent history'!G7</x:f>
        <x:v>0.15804148803977738</x:v>
      </x:c>
      <x:c r="D31" s="77" t="n">
        <x:f>Assumptions!D48</x:f>
        <x:v>0.155</x:v>
      </x:c>
      <x:c r="E31" s="77" t="n">
        <x:f>Assumptions!E48</x:f>
        <x:v>0.155</x:v>
      </x:c>
      <x:c r="F31" s="77" t="n">
        <x:f>Assumptions!F48</x:f>
        <x:v>0.155</x:v>
      </x:c>
      <x:c r="G31" s="77" t="n">
        <x:f>Assumptions!G48</x:f>
        <x:v>0.155</x:v>
      </x:c>
      <x:c r="H31" s="77" t="n">
        <x:f>Assumptions!H48</x:f>
        <x:v>0.155</x:v>
      </x:c>
      <x:c r="I31" s="2"/>
      <x:c r="J31" s="2"/>
    </x:row>
    <x:row r="32" ht="22" customHeight="1">
      <x:c r="A32" s="2"/>
      <x:c r="B32" s="2" t="str">
        <x:v>Trade payables</x:v>
      </x:c>
      <x:c r="C32" s="28" t="n">
        <x:f>'Torrent history'!G34</x:f>
        <x:v>1820.02</x:v>
      </x:c>
      <x:c r="D32" s="3" t="n">
        <x:f>D13*D31</x:f>
        <x:v>1949.5801265000002</x:v>
      </x:c>
      <x:c r="E32" s="3" t="n">
        <x:f>E13*E31</x:f>
        <x:v>2130.0473613550002</x:v>
      </x:c>
      <x:c r="F32" s="3" t="n">
        <x:f>F13*F31</x:f>
        <x:v>2315.7778677948504</x:v>
      </x:c>
      <x:c r="G32" s="3" t="n">
        <x:f>G13*G31</x:f>
        <x:v>2508.4444202085415</x:v>
      </x:c>
      <x:c r="H32" s="3" t="n">
        <x:f>H13*H31</x:f>
        <x:v>2703.269986706504</x:v>
      </x:c>
      <x:c r="I32" s="2"/>
      <x:c r="J32" s="2"/>
    </x:row>
    <x:row r="33" ht="22" customHeight="1">
      <x:c r="A33" s="2"/>
      <x:c r="B33" s="38" t="str">
        <x:v>Trade working capital</x:v>
      </x:c>
      <x:c r="C33" s="39" t="n">
        <x:f>'Torrent history'!G35</x:f>
        <x:v>2587.68</x:v>
      </x:c>
      <x:c r="D33" s="41" t="n">
        <x:f>D28+D30-D32</x:f>
        <x:v>2830.035667500001</x:v>
      </x:c>
      <x:c r="E33" s="41" t="n">
        <x:f>E28+E30-E32</x:f>
        <x:v>2995.8085469380003</x:v>
      </x:c>
      <x:c r="F33" s="41" t="n">
        <x:f>F28+F30-F32</x:f>
        <x:v>3137.5054983027007</x:v>
      </x:c>
      <x:c r="G33" s="41" t="n">
        <x:f>G28+G30-G32</x:f>
        <x:v>3285.253014853768</x:v>
      </x:c>
      <x:c r="H33" s="41" t="n">
        <x:f>H28+H30-H32</x:f>
        <x:v>3400.888047792054</x:v>
      </x:c>
      <x:c r="I33" s="2"/>
      <x:c r="J33" s="2"/>
    </x:row>
    <x:row r="34" ht="22" customHeight="1">
      <x:c r="A34" s="2"/>
      <x:c r="B34" s="30" t="str">
        <x:v>Trade working capital / revenue</x:v>
      </x:c>
      <x:c r="C34" s="77" t="n">
        <x:f>'Torrent history'!G36</x:f>
        <x:v>0.22470126579420618</x:v>
      </x:c>
      <x:c r="D34" s="31" t="n">
        <x:f>D33/D13</x:f>
        <x:v>0.22500000000000006</x:v>
      </x:c>
      <x:c r="E34" s="31" t="n">
        <x:f>E33/E13</x:f>
        <x:v>0.218</x:v>
      </x:c>
      <x:c r="F34" s="31" t="n">
        <x:f>F33/F13</x:f>
        <x:v>0.21</x:v>
      </x:c>
      <x:c r="G34" s="31" t="n">
        <x:f>G33/G13</x:f>
        <x:v>0.20300000000000004</x:v>
      </x:c>
      <x:c r="H34" s="31" t="n">
        <x:f>H33/H13</x:f>
        <x:v>0.19500000000000003</x:v>
      </x:c>
      <x:c r="I34" s="2"/>
      <x:c r="J34" s="2"/>
    </x:row>
    <x:row r="35" ht="22" customHeight="1">
      <x:c r="A35" s="2"/>
      <x:c r="B35" s="2" t="str">
        <x:v>Increase / (release) in trade working capital</x:v>
      </x:c>
      <x:c r="C35" s="28" t="n">
        <x:f>'Torrent history'!G35-'Torrent history'!F35</x:f>
        <x:v>553.6300000000001</x:v>
      </x:c>
      <x:c r="D35" s="3" t="n">
        <x:f>D33-C33</x:f>
        <x:v>242.35566750000135</x:v>
      </x:c>
      <x:c r="E35" s="3" t="n">
        <x:f>E33-D33</x:f>
        <x:v>165.7728794379991</x:v>
      </x:c>
      <x:c r="F35" s="3" t="n">
        <x:f>F33-E33</x:f>
        <x:v>141.69695136470045</x:v>
      </x:c>
      <x:c r="G35" s="3" t="n">
        <x:f>G33-F33</x:f>
        <x:v>147.7475165510673</x:v>
      </x:c>
      <x:c r="H35" s="3" t="n">
        <x:f>H33-G33</x:f>
        <x:v>115.6350329382858</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'Torrent history'!G59/'Torrent history'!G7</x:f>
        <x:v>0.05313174870984857</x:v>
      </x:c>
      <x:c r="D38" s="77" t="n">
        <x:f>Assumptions!D33</x:f>
        <x:v>0.05</x:v>
      </x:c>
      <x:c r="E38" s="77" t="n">
        <x:f>Assumptions!E33</x:f>
        <x:v>0.05</x:v>
      </x:c>
      <x:c r="F38" s="77" t="n">
        <x:f>Assumptions!F33</x:f>
        <x:v>0.048</x:v>
      </x:c>
      <x:c r="G38" s="77" t="n">
        <x:f>Assumptions!G33</x:f>
        <x:v>0.045</x:v>
      </x:c>
      <x:c r="H38" s="77" t="n">
        <x:f>Assumptions!H33</x:f>
        <x:v>0.045</x:v>
      </x:c>
      <x:c r="I38" s="2"/>
      <x:c r="J38" s="2"/>
    </x:row>
    <x:row r="39" ht="22" customHeight="1">
      <x:c r="A39" s="2"/>
      <x:c r="B39" s="38" t="str">
        <x:v>Capex cash spend</x:v>
      </x:c>
      <x:c r="C39" s="39" t="n">
        <x:f>'Torrent history'!G59</x:f>
        <x:v>611.87</x:v>
      </x:c>
      <x:c r="D39" s="41" t="n">
        <x:f>D13*D38</x:f>
        <x:v>628.8968150000001</x:v>
      </x:c>
      <x:c r="E39" s="41" t="n">
        <x:f>E13*E38</x:f>
        <x:v>687.1120520500001</x:v>
      </x:c>
      <x:c r="F39" s="41" t="n">
        <x:f>F13*F38</x:f>
        <x:v>717.1441138977602</x:v>
      </x:c>
      <x:c r="G39" s="41" t="n">
        <x:f>G13*G38</x:f>
        <x:v>728.2580574798992</x:v>
      </x:c>
      <x:c r="H39" s="41" t="n">
        <x:f>H13*H38</x:f>
        <x:v>784.8203187212431</x:v>
      </x:c>
      <x:c r="I39" s="2"/>
      <x:c r="J39" s="2"/>
    </x:row>
    <x:row r="40" ht="22" customHeight="1">
      <x:c r="A40" s="2"/>
      <x:c r="B40" s="38" t="str">
        <x:v>Operating cash after tax and capex</x:v>
      </x:c>
      <x:c r="C40" s="41" t="str">
        <x:v>n/a</x:v>
      </x:c>
      <x:c r="D40" s="41" t="n">
        <x:f>D24+D20-D39</x:f>
        <x:v>2553.8241863520007</x:v>
      </x:c>
      <x:c r="E40" s="41" t="n">
        <x:f>E24+E20-E39</x:f>
        <x:v>2828.1532062378</x:v>
      </x:c>
      <x:c r="F40" s="41" t="n">
        <x:f>F24+F20-F39</x:f>
        <x:v>3145.872179631508</x:v>
      </x:c>
      <x:c r="G40" s="41" t="n">
        <x:f>G24+G20-G39</x:f>
        <x:v>3505.3487833365816</x:v>
      </x:c>
      <x:c r="H40" s="41" t="n">
        <x:f>H24+H20-H39</x:f>
        <x:v>3830.620773420751</x:v>
      </x:c>
      <x:c r="I40" s="2"/>
      <x:c r="J40" s="2"/>
    </x:row>
    <x:row r="41" ht="22" customHeight="1">
      <x:c r="A41" s="2"/>
      <x:c r="B41" s="2" t="str">
        <x:v>Less: increase / (release) in trade WC</x:v>
      </x:c>
      <x:c r="C41" s="3" t="str">
        <x:v>n/a</x:v>
      </x:c>
      <x:c r="D41" s="3" t="n">
        <x:f>D35</x:f>
        <x:v>242.35566750000135</x:v>
      </x:c>
      <x:c r="E41" s="3" t="n">
        <x:f>E35</x:f>
        <x:v>165.7728794379991</x:v>
      </x:c>
      <x:c r="F41" s="3" t="n">
        <x:f>F35</x:f>
        <x:v>141.69695136470045</x:v>
      </x:c>
      <x:c r="G41" s="3" t="n">
        <x:f>G35</x:f>
        <x:v>147.7475165510673</x:v>
      </x:c>
      <x:c r="H41" s="3" t="n">
        <x:f>H35</x:f>
        <x:v>115.6350329382858</x:v>
      </x:c>
      <x:c r="I41" s="2"/>
      <x:c r="J41" s="2"/>
    </x:row>
    <x:row r="42" ht="22" customHeight="1">
      <x:c r="A42" s="2"/>
      <x:c r="B42" s="38" t="str">
        <x:v>Unlevered free cash flow proxy</x:v>
      </x:c>
      <x:c r="C42" s="41" t="str">
        <x:v>n/a</x:v>
      </x:c>
      <x:c r="D42" s="41" t="n">
        <x:f>D40-D41</x:f>
        <x:v>2311.4685188519993</x:v>
      </x:c>
      <x:c r="E42" s="41" t="n">
        <x:f>E40-E41</x:f>
        <x:v>2662.380326799801</x:v>
      </x:c>
      <x:c r="F42" s="41" t="n">
        <x:f>F40-F41</x:f>
        <x:v>3004.1752282668076</x:v>
      </x:c>
      <x:c r="G42" s="41" t="n">
        <x:f>G40-G41</x:f>
        <x:v>3357.6012667855143</x:v>
      </x:c>
      <x:c r="H42" s="41" t="n">
        <x:f>H40-H41</x:f>
        <x:v>3714.985740482465</x:v>
      </x:c>
      <x:c r="I42" s="2"/>
      <x:c r="J42" s="2"/>
    </x:row>
    <x:row r="43" ht="22" customHeight="1">
      <x:c r="A43" s="2"/>
      <x:c r="B43" s="30" t="str">
        <x:v>Free cash flow / revenue</x:v>
      </x:c>
      <x:c r="C43" s="31" t="str">
        <x:v>n/a</x:v>
      </x:c>
      <x:c r="D43" s="31" t="n">
        <x:f>D42/D13</x:f>
        <x:v>0.18377168270855362</x:v>
      </x:c>
      <x:c r="E43" s="31" t="n">
        <x:f>E42/E13</x:f>
        <x:v>0.1937369835717904</x:v>
      </x:c>
      <x:c r="F43" s="31" t="n">
        <x:f>F42/F13</x:f>
        <x:v>0.20107591788359117</x:v>
      </x:c>
      <x:c r="G43" s="31" t="n">
        <x:f>G42/G13</x:f>
        <x:v>0.2074704913368136</x:v>
      </x:c>
      <x:c r="H43" s="31" t="n">
        <x:f>H42/H13</x:f>
        <x:v>0.2130097225236199</x:v>
      </x:c>
      <x:c r="I43" s="2"/>
      <x:c r="J43" s="2"/>
    </x:row>
    <x:row r="44" ht="22" customHeight="1">
      <x:c r="A44" s="2"/>
      <x:c r="B44" s="38" t="str">
        <x:v>Cumulative forecast free cash flow</x:v>
      </x:c>
      <x:c r="C44" s="41" t="str">
        <x:v>n/a</x:v>
      </x:c>
      <x:c r="D44" s="41" t="n">
        <x:f>D42</x:f>
        <x:v>2311.4685188519993</x:v>
      </x:c>
      <x:c r="E44" s="41" t="n">
        <x:f>D44+E42</x:f>
        <x:v>4973.848845651801</x:v>
      </x:c>
      <x:c r="F44" s="41" t="n">
        <x:f>E44+F42</x:f>
        <x:v>7978.024073918608</x:v>
      </x:c>
      <x:c r="G44" s="41" t="n">
        <x:f>F44+G42</x:f>
        <x:v>11335.625340704122</x:v>
      </x:c>
      <x:c r="H44" s="41" t="n">
        <x:f>G44+H42</x:f>
        <x:v>15050.611081186587</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C13-'Torrent history'!G7</x:f>
        <x:v>0</x:v>
      </x:c>
      <x:c r="D47" s="79" t="n">
        <x:f>D13-C13-C7*D8-C9*D10</x:f>
        <x:v>1.0231815394945443e-12</x:v>
      </x:c>
      <x:c r="E47" s="79" t="n">
        <x:f>E13-D13-D7*E8-D9*E10</x:f>
        <x:v>-2.2737367544323206e-13</x:v>
      </x:c>
      <x:c r="F47" s="79" t="n">
        <x:f>F13-E13-E7*F8-E9*F10</x:f>
        <x:v>2.0463630789890885e-12</x:v>
      </x:c>
      <x:c r="G47" s="79" t="n">
        <x:f>G13-F13-F7*G8-F9*G10</x:f>
        <x:v>7.958078640513122e-13</x:v>
      </x:c>
      <x:c r="H47" s="79" t="n">
        <x:f>H13-G13-G7*H8-G9*H10</x:f>
        <x:v>-1.5347723092418164e-12</x:v>
      </x:c>
      <x:c r="I47" s="2"/>
      <x:c r="J47" s="2"/>
    </x:row>
    <x:row r="48" ht="22" customHeight="1">
      <x:c r="A48" s="2"/>
      <x:c r="B48" s="2" t="str">
        <x:v>Free cash flow bridge: difference</x:v>
      </x:c>
      <x:c r="C48" s="79" t="str">
        <x:v>n/a</x:v>
      </x:c>
      <x:c r="D48" s="79" t="n">
        <x:f>D42-(D18-D23-D39-D35)</x:f>
        <x:v>4.547473508864641e-13</x:v>
      </x:c>
      <x:c r="E48" s="79" t="n">
        <x:f>E42-(E18-E23-E39-E35)</x:f>
        <x:v>0</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9-COUNT(D8,D10,D17,D19,D22,D27,D29,D31,D38)</x:f>
        <x:v>0</x:v>
      </x:c>
      <x:c r="E49" s="79" t="n">
        <x:f>9-COUNT(E8,E10,E17,E19,E22,E27,E29,E31,E38)</x:f>
        <x:v>0</x:v>
      </x:c>
      <x:c r="F49" s="79" t="n">
        <x:f>9-COUNT(F8,F10,F17,F19,F22,F27,F29,F31,F38)</x:f>
        <x:v>0</x:v>
      </x:c>
      <x:c r="G49" s="79" t="n">
        <x:f>9-COUNT(G8,G10,G17,G19,G22,G27,G29,G31,G38)</x:f>
        <x:v>0</x:v>
      </x:c>
      <x:c r="H49" s="79" t="n">
        <x:f>9-COUNT(H8,H10,H17,H19,H22,H27,H29,H31,H38)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2" priority="1" operator="notBetween">
      <x:formula>-0.001</x:formula>
      <x:formula>0.001</x:formula>
    </x:cfRule>
  </x:conditionalFormatting>
  <x:pageMargins left="0.7" right="0.7" top="0.75" bottom="0.75" header="0.3" footer="0.3"/>
</x:worksheet>
</file>

<file path=xl/worksheets/sheet10.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JB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'JB inputs'!G67/'JB inputs'!$C$64</x:f>
        <x:v>2268.8006</x:v>
      </x:c>
      <x:c r="D7" s="41" t="n">
        <x:f>C7*(1+D8)</x:f>
        <x:v>2563.7446779999996</x:v>
      </x:c>
      <x:c r="E7" s="41" t="n">
        <x:f>D7*(1+E8)</x:f>
        <x:v>2897.0314861399993</x:v>
      </x:c>
      <x:c r="F7" s="41" t="n">
        <x:f>E7*(1+F8)</x:f>
        <x:v>3244.6752644767994</x:v>
      </x:c>
      <x:c r="G7" s="41" t="n">
        <x:f>F7*(1+G8)</x:f>
        <x:v>3601.589543569248</x:v>
      </x:c>
      <x:c r="H7" s="41" t="n">
        <x:f>G7*(1+H8)</x:f>
        <x:v>3961.748497926173</x:v>
      </x:c>
      <x:c r="I7" s="2"/>
      <x:c r="J7" s="2"/>
    </x:row>
    <x:row r="8" ht="22" customHeight="1">
      <x:c r="A8" s="2"/>
      <x:c r="B8" s="30" t="str">
        <x:v>India growth</x:v>
      </x:c>
      <x:c r="C8" s="77" t="n">
        <x:f>'JB inputs'!G67/'JB inputs'!F67-1</x:f>
        <x:v>0.19542010064014081</x:v>
      </x:c>
      <x:c r="D8" s="77" t="n">
        <x:f>Assumptions!D54</x:f>
        <x:v>0.13</x:v>
      </x:c>
      <x:c r="E8" s="77" t="n">
        <x:f>Assumptions!E54</x:f>
        <x:v>0.13</x:v>
      </x:c>
      <x:c r="F8" s="77" t="n">
        <x:f>Assumptions!F54</x:f>
        <x:v>0.12</x:v>
      </x:c>
      <x:c r="G8" s="77" t="n">
        <x:f>Assumptions!G54</x:f>
        <x:v>0.11</x:v>
      </x:c>
      <x:c r="H8" s="77" t="n">
        <x:f>Assumptions!H54</x:f>
        <x:v>0.1</x:v>
      </x:c>
      <x:c r="I8" s="2"/>
      <x:c r="J8" s="2"/>
    </x:row>
    <x:row r="9" ht="22" customHeight="1">
      <x:c r="A9" s="2"/>
      <x:c r="B9" s="38" t="str">
        <x:v>International formulations and API</x:v>
      </x:c>
      <x:c r="C9" s="41" t="n">
        <x:f>C13-C7-C11</x:f>
        <x:v>1203.1196999999997</x:v>
      </x:c>
      <x:c r="D9" s="41" t="n">
        <x:f>C9*(1+D10)</x:f>
        <x:v>1299.369276</x:v>
      </x:c>
      <x:c r="E9" s="41" t="n">
        <x:f>D9*(1+E10)</x:f>
        <x:v>1403.31881808</x:v>
      </x:c>
      <x:c r="F9" s="41" t="n">
        <x:f>E9*(1+F10)</x:f>
        <x:v>1501.5511353456002</x:v>
      </x:c>
      <x:c r="G9" s="41" t="n">
        <x:f>F9*(1+G10)</x:f>
        <x:v>1606.6597148197923</x:v>
      </x:c>
      <x:c r="H9" s="41" t="n">
        <x:f>G9*(1+H10)</x:f>
        <x:v>1703.0592977089798</x:v>
      </x:c>
      <x:c r="I9" s="2"/>
      <x:c r="J9" s="2"/>
    </x:row>
    <x:row r="10" ht="22" customHeight="1">
      <x:c r="A10" s="2"/>
      <x:c r="B10" s="30" t="str">
        <x:v>International and other growth</x:v>
      </x:c>
      <x:c r="C10" s="77" t="n">
        <x:f>C9/('JB history'!F7-'JB inputs'!F67/'JB inputs'!$C$64-'JB inputs'!F83/100)-1</x:f>
        <x:v>0.042178745930666395</x:v>
      </x:c>
      <x:c r="D10" s="77" t="n">
        <x:f>Assumptions!D59</x:f>
        <x:v>0.08</x:v>
      </x:c>
      <x:c r="E10" s="77" t="n">
        <x:f>Assumptions!E59</x:f>
        <x:v>0.08</x:v>
      </x:c>
      <x:c r="F10" s="77" t="n">
        <x:f>Assumptions!F59</x:f>
        <x:v>0.07</x:v>
      </x:c>
      <x:c r="G10" s="77" t="n">
        <x:f>Assumptions!G59</x:f>
        <x:v>0.07</x:v>
      </x:c>
      <x:c r="H10" s="77" t="n">
        <x:f>Assumptions!H59</x:f>
        <x:v>0.06</x:v>
      </x:c>
      <x:c r="I10" s="2"/>
      <x:c r="J10" s="2"/>
    </x:row>
    <x:row r="11" ht="22" customHeight="1">
      <x:c r="A11" s="2"/>
      <x:c r="B11" s="38" t="str">
        <x:v>CDMO revenue</x:v>
      </x:c>
      <x:c r="C11" s="39" t="n">
        <x:f>'JB inputs'!G83/'JB inputs'!$C$64</x:f>
        <x:v>446.0683</x:v>
      </x:c>
      <x:c r="D11" s="41" t="n">
        <x:f>C11*(1+D12)</x:f>
        <x:v>504.05717899999996</x:v>
      </x:c>
      <x:c r="E11" s="41" t="n">
        <x:f>D11*(1+E12)</x:f>
        <x:v>569.5846122699999</x:v>
      </x:c>
      <x:c r="F11" s="41" t="n">
        <x:f>E11*(1+F12)</x:f>
        <x:v>637.9347657423999</x:v>
      </x:c>
      <x:c r="G11" s="41" t="n">
        <x:f>F11*(1+G12)</x:f>
        <x:v>714.486937631488</x:v>
      </x:c>
      <x:c r="H11" s="41" t="n">
        <x:f>G11*(1+H12)</x:f>
        <x:v>785.9356313946369</x:v>
      </x:c>
      <x:c r="I11" s="2"/>
      <x:c r="J11" s="2"/>
    </x:row>
    <x:row r="12" ht="22" customHeight="1">
      <x:c r="A12" s="2"/>
      <x:c r="B12" s="30" t="str">
        <x:v>CDMO growth</x:v>
      </x:c>
      <x:c r="C12" s="77" t="n">
        <x:f>'JB inputs'!G83/'JB inputs'!F83-1</x:f>
        <x:v>0.03293444857735062</x:v>
      </x:c>
      <x:c r="D12" s="77" t="n">
        <x:f>Assumptions!D64</x:f>
        <x:v>0.13</x:v>
      </x:c>
      <x:c r="E12" s="77" t="n">
        <x:f>Assumptions!E64</x:f>
        <x:v>0.13</x:v>
      </x:c>
      <x:c r="F12" s="77" t="n">
        <x:f>Assumptions!F64</x:f>
        <x:v>0.12</x:v>
      </x:c>
      <x:c r="G12" s="77" t="n">
        <x:f>Assumptions!G64</x:f>
        <x:v>0.12</x:v>
      </x:c>
      <x:c r="H12" s="77" t="n">
        <x:f>Assumptions!H64</x:f>
        <x:v>0.1</x:v>
      </x:c>
      <x:c r="I12" s="2"/>
      <x:c r="J12" s="2"/>
    </x:row>
    <x:row r="13" ht="22" customHeight="1">
      <x:c r="A13" s="2"/>
      <x:c r="B13" s="38" t="str">
        <x:v>Total revenue</x:v>
      </x:c>
      <x:c r="C13" s="39" t="n">
        <x:f>'JB history'!G7</x:f>
        <x:v>3917.9885999999997</x:v>
      </x:c>
      <x:c r="D13" s="41" t="n">
        <x:f>SUM(D7,D9,D11)</x:f>
        <x:v>4367.171133</x:v>
      </x:c>
      <x:c r="E13" s="41" t="n">
        <x:f>SUM(E7,E9,E11)</x:f>
        <x:v>4869.934916489999</x:v>
      </x:c>
      <x:c r="F13" s="41" t="n">
        <x:f>SUM(F7,F9,F11)</x:f>
        <x:v>5384.161165564799</x:v>
      </x:c>
      <x:c r="G13" s="41" t="n">
        <x:f>SUM(G7,G9,G11)</x:f>
        <x:v>5922.736196020528</x:v>
      </x:c>
      <x:c r="H13" s="41" t="n">
        <x:f>SUM(H7,H9,H11)</x:f>
        <x:v>6450.743427029789</x:v>
      </x:c>
      <x:c r="I13" s="2"/>
      <x:c r="J13" s="2"/>
    </x:row>
    <x:row r="14" ht="22" customHeight="1">
      <x:c r="A14" s="2"/>
      <x:c r="B14" s="30" t="str">
        <x:v>Total revenue growth</x:v>
      </x:c>
      <x:c r="C14" s="77" t="n">
        <x:f>'JB history'!G8</x:f>
        <x:v>0.12450686441972425</x:v>
      </x:c>
      <x:c r="D14" s="31" t="n">
        <x:f>D13/C13-1</x:f>
        <x:v>0.1146462072401131</x:v>
      </x:c>
      <x:c r="E14" s="31" t="n">
        <x:f>E13/D13-1</x:f>
        <x:v>0.11512344448581957</x:v>
      </x:c>
      <x:c r="F14" s="31" t="n">
        <x:f>F13/E13-1</x:f>
        <x:v>0.10559201670921481</x:v>
      </x:c>
      <x:c r="G14" s="31" t="n">
        <x:f>G13/F13-1</x:f>
        <x:v>0.10002951507103197</x:v>
      </x:c>
      <x:c r="H14" s="31" t="n">
        <x:f>H13/G13-1</x:f>
        <x:v>0.08914920630164613</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'JB history'!G15</x:f>
        <x:v>0.2633592399937049</x:v>
      </x:c>
      <x:c r="D17" s="77" t="n">
        <x:f>Assumptions!D69</x:f>
        <x:v>0.268</x:v>
      </x:c>
      <x:c r="E17" s="77" t="n">
        <x:f>Assumptions!E69</x:f>
        <x:v>0.273</x:v>
      </x:c>
      <x:c r="F17" s="77" t="n">
        <x:f>Assumptions!F69</x:f>
        <x:v>0.278</x:v>
      </x:c>
      <x:c r="G17" s="77" t="n">
        <x:f>Assumptions!G69</x:f>
        <x:v>0.282</x:v>
      </x:c>
      <x:c r="H17" s="77" t="n">
        <x:f>Assumptions!H69</x:f>
        <x:v>0.285</x:v>
      </x:c>
      <x:c r="I17" s="2"/>
      <x:c r="J17" s="2"/>
    </x:row>
    <x:row r="18" ht="22" customHeight="1">
      <x:c r="A18" s="2"/>
      <x:c r="B18" s="38" t="str">
        <x:v>Operating EBITDA</x:v>
      </x:c>
      <x:c r="C18" s="39" t="n">
        <x:f>'JB history'!G14</x:f>
        <x:v>1031.8384999999998</x:v>
      </x:c>
      <x:c r="D18" s="41" t="n">
        <x:f>D13*D17</x:f>
        <x:v>1170.401863644</x:v>
      </x:c>
      <x:c r="E18" s="41" t="n">
        <x:f>E13*E17</x:f>
        <x:v>1329.4922322017696</x:v>
      </x:c>
      <x:c r="F18" s="41" t="n">
        <x:f>F13*F17</x:f>
        <x:v>1496.7968040270143</x:v>
      </x:c>
      <x:c r="G18" s="41" t="n">
        <x:f>G13*G17</x:f>
        <x:v>1670.2116072777887</x:v>
      </x:c>
      <x:c r="H18" s="41" t="n">
        <x:f>H13*H17</x:f>
        <x:v>1838.4618767034897</x:v>
      </x:c>
      <x:c r="I18" s="2"/>
      <x:c r="J18" s="2"/>
    </x:row>
    <x:row r="19" ht="22" customHeight="1">
      <x:c r="A19" s="2"/>
      <x:c r="B19" s="30" t="str">
        <x:v>D&amp;A / revenue</x:v>
      </x:c>
      <x:c r="C19" s="77" t="n">
        <x:f>'JB history'!G19/'JB history'!G7</x:f>
        <x:v>0.04365426178115985</x:v>
      </x:c>
      <x:c r="D19" s="77" t="n">
        <x:f>Assumptions!D74</x:f>
        <x:v>0.042</x:v>
      </x:c>
      <x:c r="E19" s="77" t="n">
        <x:f>Assumptions!E74</x:f>
        <x:v>0.04</x:v>
      </x:c>
      <x:c r="F19" s="77" t="n">
        <x:f>Assumptions!F74</x:f>
        <x:v>0.038</x:v>
      </x:c>
      <x:c r="G19" s="77" t="n">
        <x:f>Assumptions!G74</x:f>
        <x:v>0.037000000000000005</x:v>
      </x:c>
      <x:c r="H19" s="77" t="n">
        <x:f>Assumptions!H74</x:f>
        <x:v>0.035</x:v>
      </x:c>
      <x:c r="I19" s="2"/>
      <x:c r="J19" s="2"/>
    </x:row>
    <x:row r="20" ht="22" customHeight="1">
      <x:c r="A20" s="2"/>
      <x:c r="B20" s="2" t="str">
        <x:v>Depreciation and amortisation</x:v>
      </x:c>
      <x:c r="C20" s="28" t="n">
        <x:f>'JB history'!G19</x:f>
        <x:v>171.03689999999997</x:v>
      </x:c>
      <x:c r="D20" s="3" t="n">
        <x:f>D13*D19</x:f>
        <x:v>183.421187586</x:v>
      </x:c>
      <x:c r="E20" s="3" t="n">
        <x:f>E13*E19</x:f>
        <x:v>194.79739665959994</x:v>
      </x:c>
      <x:c r="F20" s="3" t="n">
        <x:f>F13*F19</x:f>
        <x:v>204.59812429146237</x:v>
      </x:c>
      <x:c r="G20" s="3" t="n">
        <x:f>G13*G19</x:f>
        <x:v>219.14123925275956</x:v>
      </x:c>
      <x:c r="H20" s="3" t="n">
        <x:f>H13*H19</x:f>
        <x:v>225.77601994604262</x:v>
      </x:c>
      <x:c r="I20" s="2"/>
      <x:c r="J20" s="2"/>
    </x:row>
    <x:row r="21" ht="22" customHeight="1">
      <x:c r="A21" s="2"/>
      <x:c r="B21" s="38" t="str">
        <x:v>Operating EBIT</x:v>
      </x:c>
      <x:c r="C21" s="39" t="n">
        <x:f>'JB history'!G20</x:f>
        <x:v>860.8015999999999</x:v>
      </x:c>
      <x:c r="D21" s="41" t="n">
        <x:f>D18-D20</x:f>
        <x:v>986.9806760580001</x:v>
      </x:c>
      <x:c r="E21" s="41" t="n">
        <x:f>E18-E20</x:f>
        <x:v>1134.6948355421696</x:v>
      </x:c>
      <x:c r="F21" s="41" t="n">
        <x:f>F18-F20</x:f>
        <x:v>1292.1986797355519</x:v>
      </x:c>
      <x:c r="G21" s="41" t="n">
        <x:f>G18-G20</x:f>
        <x:v>1451.0703680250292</x:v>
      </x:c>
      <x:c r="H21" s="41" t="n">
        <x:f>H18-H20</x:f>
        <x:v>1612.685856757447</x:v>
      </x:c>
      <x:c r="I21" s="2"/>
      <x:c r="J21" s="2"/>
    </x:row>
    <x:row r="22" ht="22" customHeight="1">
      <x:c r="A22" s="2"/>
      <x:c r="B22" s="30" t="str">
        <x:v>Operating tax rate</x:v>
      </x:c>
      <x:c r="C22" s="77" t="n">
        <x:f>'JB history'!G26</x:f>
        <x:v>0.256718454400515</x:v>
      </x:c>
      <x:c r="D22" s="77" t="n">
        <x:f>Assumptions!D79</x:f>
        <x:v>0.26</x:v>
      </x:c>
      <x:c r="E22" s="77" t="n">
        <x:f>Assumptions!E79</x:f>
        <x:v>0.26</x:v>
      </x:c>
      <x:c r="F22" s="77" t="n">
        <x:f>Assumptions!F79</x:f>
        <x:v>0.26</x:v>
      </x:c>
      <x:c r="G22" s="77" t="n">
        <x:f>Assumptions!G79</x:f>
        <x:v>0.26</x:v>
      </x:c>
      <x:c r="H22" s="77" t="n">
        <x:f>Assumptions!H79</x:f>
        <x:v>0.26</x:v>
      </x:c>
      <x:c r="I22" s="2"/>
      <x:c r="J22" s="2"/>
    </x:row>
    <x:row r="23" ht="22" customHeight="1">
      <x:c r="A23" s="2"/>
      <x:c r="B23" s="2" t="str">
        <x:v>Estimated tax on operating profit</x:v>
      </x:c>
      <x:c r="C23" s="3" t="n">
        <x:f>MAX(C21,0)*C22</x:f>
        <x:v>220.9836562974903</x:v>
      </x:c>
      <x:c r="D23" s="3" t="n">
        <x:f>MAX(D21,0)*D22</x:f>
        <x:v>256.61497577508004</x:v>
      </x:c>
      <x:c r="E23" s="3" t="n">
        <x:f>MAX(E21,0)*E22</x:f>
        <x:v>295.0206572409641</x:v>
      </x:c>
      <x:c r="F23" s="3" t="n">
        <x:f>MAX(F21,0)*F22</x:f>
        <x:v>335.9716567312435</x:v>
      </x:c>
      <x:c r="G23" s="3" t="n">
        <x:f>MAX(G21,0)*G22</x:f>
        <x:v>377.2782956865076</x:v>
      </x:c>
      <x:c r="H23" s="3" t="n">
        <x:f>MAX(H21,0)*H22</x:f>
        <x:v>419.2983227569362</x:v>
      </x:c>
      <x:c r="I23" s="2"/>
      <x:c r="J23" s="2"/>
    </x:row>
    <x:row r="24" ht="22" customHeight="1">
      <x:c r="A24" s="2"/>
      <x:c r="B24" s="38" t="str">
        <x:v>Net operating profit after tax</x:v>
      </x:c>
      <x:c r="C24" s="41" t="n">
        <x:f>C21-C23</x:f>
        <x:v>639.8179437025096</x:v>
      </x:c>
      <x:c r="D24" s="41" t="n">
        <x:f>D21-D23</x:f>
        <x:v>730.36570028292</x:v>
      </x:c>
      <x:c r="E24" s="41" t="n">
        <x:f>E21-E23</x:f>
        <x:v>839.6741783012055</x:v>
      </x:c>
      <x:c r="F24" s="41" t="n">
        <x:f>F21-F23</x:f>
        <x:v>956.2270230043084</x:v>
      </x:c>
      <x:c r="G24" s="41" t="n">
        <x:f>G21-G23</x:f>
        <x:v>1073.7920723385216</x:v>
      </x:c>
      <x:c r="H24" s="41" t="n">
        <x:f>H21-H23</x:f>
        <x:v>1193.3875340005109</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'JB history'!G32/'JB history'!G7</x:f>
        <x:v>0.13500685019859426</x:v>
      </x:c>
      <x:c r="D27" s="77" t="n">
        <x:f>Assumptions!D89</x:f>
        <x:v>0.135</x:v>
      </x:c>
      <x:c r="E27" s="77" t="n">
        <x:f>Assumptions!E89</x:f>
        <x:v>0.133</x:v>
      </x:c>
      <x:c r="F27" s="77" t="n">
        <x:f>Assumptions!F89</x:f>
        <x:v>0.13</x:v>
      </x:c>
      <x:c r="G27" s="77" t="n">
        <x:f>Assumptions!G89</x:f>
        <x:v>0.128</x:v>
      </x:c>
      <x:c r="H27" s="77" t="n">
        <x:f>Assumptions!H89</x:f>
        <x:v>0.125</x:v>
      </x:c>
      <x:c r="I27" s="2"/>
      <x:c r="J27" s="2"/>
    </x:row>
    <x:row r="28" ht="22" customHeight="1">
      <x:c r="A28" s="2"/>
      <x:c r="B28" s="2" t="str">
        <x:v>Inventories</x:v>
      </x:c>
      <x:c r="C28" s="28" t="n">
        <x:f>'JB history'!G32</x:f>
        <x:v>528.9553</x:v>
      </x:c>
      <x:c r="D28" s="3" t="n">
        <x:f>D13*D27</x:f>
        <x:v>589.568102955</x:v>
      </x:c>
      <x:c r="E28" s="3" t="n">
        <x:f>E13*E27</x:f>
        <x:v>647.7013438931699</x:v>
      </x:c>
      <x:c r="F28" s="3" t="n">
        <x:f>F13*F27</x:f>
        <x:v>699.9409515234239</x:v>
      </x:c>
      <x:c r="G28" s="3" t="n">
        <x:f>G13*G27</x:f>
        <x:v>758.1102330906276</x:v>
      </x:c>
      <x:c r="H28" s="3" t="n">
        <x:f>H13*H27</x:f>
        <x:v>806.3429283787236</x:v>
      </x:c>
      <x:c r="I28" s="2"/>
      <x:c r="J28" s="2"/>
    </x:row>
    <x:row r="29" ht="22" customHeight="1">
      <x:c r="A29" s="2"/>
      <x:c r="B29" s="30" t="str">
        <x:v>Receivables / revenue</x:v>
      </x:c>
      <x:c r="C29" s="77" t="n">
        <x:f>'JB history'!G33/'JB history'!G7</x:f>
        <x:v>0.20811158051863657</x:v>
      </x:c>
      <x:c r="D29" s="77" t="n">
        <x:f>Assumptions!D94</x:f>
        <x:v>0.205</x:v>
      </x:c>
      <x:c r="E29" s="77" t="n">
        <x:f>Assumptions!E94</x:f>
        <x:v>0.20199999999999999</x:v>
      </x:c>
      <x:c r="F29" s="77" t="n">
        <x:f>Assumptions!F94</x:f>
        <x:v>0.2</x:v>
      </x:c>
      <x:c r="G29" s="77" t="n">
        <x:f>Assumptions!G94</x:f>
        <x:v>0.198</x:v>
      </x:c>
      <x:c r="H29" s="77" t="n">
        <x:f>Assumptions!H94</x:f>
        <x:v>0.195</x:v>
      </x:c>
      <x:c r="I29" s="2"/>
      <x:c r="J29" s="2"/>
    </x:row>
    <x:row r="30" ht="22" customHeight="1">
      <x:c r="A30" s="2"/>
      <x:c r="B30" s="2" t="str">
        <x:v>Trade receivables</x:v>
      </x:c>
      <x:c r="C30" s="28" t="n">
        <x:f>'JB history'!G33</x:f>
        <x:v>815.3788000000001</x:v>
      </x:c>
      <x:c r="D30" s="3" t="n">
        <x:f>D13*D29</x:f>
        <x:v>895.2700822649999</x:v>
      </x:c>
      <x:c r="E30" s="3" t="n">
        <x:f>E13*E29</x:f>
        <x:v>983.7268531309796</x:v>
      </x:c>
      <x:c r="F30" s="3" t="n">
        <x:f>F13*F29</x:f>
        <x:v>1076.83223311296</x:v>
      </x:c>
      <x:c r="G30" s="3" t="n">
        <x:f>G13*G29</x:f>
        <x:v>1172.7017668120645</x:v>
      </x:c>
      <x:c r="H30" s="3" t="n">
        <x:f>H13*H29</x:f>
        <x:v>1257.894968270809</x:v>
      </x:c>
      <x:c r="I30" s="2"/>
      <x:c r="J30" s="2"/>
    </x:row>
    <x:row r="31" ht="22" customHeight="1">
      <x:c r="A31" s="2"/>
      <x:c r="B31" s="30" t="str">
        <x:v>Payables / revenue</x:v>
      </x:c>
      <x:c r="C31" s="77" t="n">
        <x:f>'JB history'!G34/'JB history'!G7</x:f>
        <x:v>0.1048285592255169</x:v>
      </x:c>
      <x:c r="D31" s="77" t="n">
        <x:f>Assumptions!D99</x:f>
        <x:v>0.105</x:v>
      </x:c>
      <x:c r="E31" s="77" t="n">
        <x:f>Assumptions!E99</x:f>
        <x:v>0.105</x:v>
      </x:c>
      <x:c r="F31" s="77" t="n">
        <x:f>Assumptions!F99</x:f>
        <x:v>0.105</x:v>
      </x:c>
      <x:c r="G31" s="77" t="n">
        <x:f>Assumptions!G99</x:f>
        <x:v>0.105</x:v>
      </x:c>
      <x:c r="H31" s="77" t="n">
        <x:f>Assumptions!H99</x:f>
        <x:v>0.105</x:v>
      </x:c>
      <x:c r="I31" s="2"/>
      <x:c r="J31" s="2"/>
    </x:row>
    <x:row r="32" ht="22" customHeight="1">
      <x:c r="A32" s="2"/>
      <x:c r="B32" s="2" t="str">
        <x:v>Trade payables</x:v>
      </x:c>
      <x:c r="C32" s="28" t="n">
        <x:f>'JB history'!G34</x:f>
        <x:v>410.7171</x:v>
      </x:c>
      <x:c r="D32" s="3" t="n">
        <x:f>D13*D31</x:f>
        <x:v>458.552968965</x:v>
      </x:c>
      <x:c r="E32" s="3" t="n">
        <x:f>E13*E31</x:f>
        <x:v>511.34316623144986</x:v>
      </x:c>
      <x:c r="F32" s="3" t="n">
        <x:f>F13*F31</x:f>
        <x:v>565.3369223843039</x:v>
      </x:c>
      <x:c r="G32" s="3" t="n">
        <x:f>G13*G31</x:f>
        <x:v>621.8873005821554</x:v>
      </x:c>
      <x:c r="H32" s="3" t="n">
        <x:f>H13*H31</x:f>
        <x:v>677.3280598381278</x:v>
      </x:c>
      <x:c r="I32" s="2"/>
      <x:c r="J32" s="2"/>
    </x:row>
    <x:row r="33" ht="22" customHeight="1">
      <x:c r="A33" s="2"/>
      <x:c r="B33" s="38" t="str">
        <x:v>Trade working capital</x:v>
      </x:c>
      <x:c r="C33" s="39" t="n">
        <x:f>'JB history'!G35</x:f>
        <x:v>933.617</x:v>
      </x:c>
      <x:c r="D33" s="41" t="n">
        <x:f>D28+D30-D32</x:f>
        <x:v>1026.285216255</x:v>
      </x:c>
      <x:c r="E33" s="41" t="n">
        <x:f>E28+E30-E32</x:f>
        <x:v>1120.0850307926996</x:v>
      </x:c>
      <x:c r="F33" s="41" t="n">
        <x:f>F28+F30-F32</x:f>
        <x:v>1211.4362622520803</x:v>
      </x:c>
      <x:c r="G33" s="41" t="n">
        <x:f>G28+G30-G32</x:f>
        <x:v>1308.9246993205368</x:v>
      </x:c>
      <x:c r="H33" s="41" t="n">
        <x:f>H28+H30-H32</x:f>
        <x:v>1386.9098368114046</x:v>
      </x:c>
      <x:c r="I33" s="2"/>
      <x:c r="J33" s="2"/>
    </x:row>
    <x:row r="34" ht="22" customHeight="1">
      <x:c r="A34" s="2"/>
      <x:c r="B34" s="30" t="str">
        <x:v>Trade working capital / revenue</x:v>
      </x:c>
      <x:c r="C34" s="77" t="n">
        <x:f>'JB history'!G36</x:f>
        <x:v>0.2382898714917139</x:v>
      </x:c>
      <x:c r="D34" s="31" t="n">
        <x:f>D33/D13</x:f>
        <x:v>0.23500000000000001</x:v>
      </x:c>
      <x:c r="E34" s="31" t="n">
        <x:f>E33/E13</x:f>
        <x:v>0.22999999999999998</x:v>
      </x:c>
      <x:c r="F34" s="31" t="n">
        <x:f>F33/F13</x:f>
        <x:v>0.2250000000000001</x:v>
      </x:c>
      <x:c r="G34" s="31" t="n">
        <x:f>G33/G13</x:f>
        <x:v>0.221</x:v>
      </x:c>
      <x:c r="H34" s="31" t="n">
        <x:f>H33/H13</x:f>
        <x:v>0.215</x:v>
      </x:c>
      <x:c r="I34" s="2"/>
      <x:c r="J34" s="2"/>
    </x:row>
    <x:row r="35" ht="22" customHeight="1">
      <x:c r="A35" s="2"/>
      <x:c r="B35" s="2" t="str">
        <x:v>Increase / (release) in trade working capital</x:v>
      </x:c>
      <x:c r="C35" s="28" t="n">
        <x:f>'JB history'!G35-'JB history'!F35</x:f>
        <x:v>100.49570000000006</x:v>
      </x:c>
      <x:c r="D35" s="3" t="n">
        <x:f>D33-C33</x:f>
        <x:v>92.66821625500006</x:v>
      </x:c>
      <x:c r="E35" s="3" t="n">
        <x:f>E33-D33</x:f>
        <x:v>93.7998145376996</x:v>
      </x:c>
      <x:c r="F35" s="3" t="n">
        <x:f>F33-E33</x:f>
        <x:v>91.35123145938064</x:v>
      </x:c>
      <x:c r="G35" s="3" t="n">
        <x:f>G33-F33</x:f>
        <x:v>97.4884370684565</x:v>
      </x:c>
      <x:c r="H35" s="3" t="n">
        <x:f>H33-G33</x:f>
        <x:v>77.98513749086783</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'JB history'!G59/'JB history'!G7</x:f>
        <x:v>0.03070608730204065</x:v>
      </x:c>
      <x:c r="D38" s="77" t="n">
        <x:f>Assumptions!D84</x:f>
        <x:v>0.03</x:v>
      </x:c>
      <x:c r="E38" s="77" t="n">
        <x:f>Assumptions!E84</x:f>
        <x:v>0.03</x:v>
      </x:c>
      <x:c r="F38" s="77" t="n">
        <x:f>Assumptions!F84</x:f>
        <x:v>0.03</x:v>
      </x:c>
      <x:c r="G38" s="77" t="n">
        <x:f>Assumptions!G84</x:f>
        <x:v>0.03</x:v>
      </x:c>
      <x:c r="H38" s="77" t="n">
        <x:f>Assumptions!H84</x:f>
        <x:v>0.03</x:v>
      </x:c>
      <x:c r="I38" s="2"/>
      <x:c r="J38" s="2"/>
    </x:row>
    <x:row r="39" ht="22" customHeight="1">
      <x:c r="A39" s="2"/>
      <x:c r="B39" s="38" t="str">
        <x:v>Capex cash spend</x:v>
      </x:c>
      <x:c r="C39" s="39" t="n">
        <x:f>'JB history'!G59</x:f>
        <x:v>120.30610000000001</x:v>
      </x:c>
      <x:c r="D39" s="41" t="n">
        <x:f>D13*D38</x:f>
        <x:v>131.01513398999998</x:v>
      </x:c>
      <x:c r="E39" s="41" t="n">
        <x:f>E13*E38</x:f>
        <x:v>146.09804749469995</x:v>
      </x:c>
      <x:c r="F39" s="41" t="n">
        <x:f>F13*F38</x:f>
        <x:v>161.52483496694398</x:v>
      </x:c>
      <x:c r="G39" s="41" t="n">
        <x:f>G13*G38</x:f>
        <x:v>177.68208588061583</x:v>
      </x:c>
      <x:c r="H39" s="41" t="n">
        <x:f>H13*H38</x:f>
        <x:v>193.52230281089368</x:v>
      </x:c>
      <x:c r="I39" s="2"/>
      <x:c r="J39" s="2"/>
    </x:row>
    <x:row r="40" ht="22" customHeight="1">
      <x:c r="A40" s="2"/>
      <x:c r="B40" s="38" t="str">
        <x:v>Operating cash after tax and capex</x:v>
      </x:c>
      <x:c r="C40" s="41" t="str">
        <x:v>n/a</x:v>
      </x:c>
      <x:c r="D40" s="41" t="n">
        <x:f>D24+D20-D39</x:f>
        <x:v>782.77175387892</x:v>
      </x:c>
      <x:c r="E40" s="41" t="n">
        <x:f>E24+E20-E39</x:f>
        <x:v>888.3735274661054</x:v>
      </x:c>
      <x:c r="F40" s="41" t="n">
        <x:f>F24+F20-F39</x:f>
        <x:v>999.3003123288269</x:v>
      </x:c>
      <x:c r="G40" s="41" t="n">
        <x:f>G24+G20-G39</x:f>
        <x:v>1115.2512257106653</x:v>
      </x:c>
      <x:c r="H40" s="41" t="n">
        <x:f>H24+H20-H39</x:f>
        <x:v>1225.6412511356598</x:v>
      </x:c>
      <x:c r="I40" s="2"/>
      <x:c r="J40" s="2"/>
    </x:row>
    <x:row r="41" ht="22" customHeight="1">
      <x:c r="A41" s="2"/>
      <x:c r="B41" s="2" t="str">
        <x:v>Less: increase / (release) in trade WC</x:v>
      </x:c>
      <x:c r="C41" s="3" t="str">
        <x:v>n/a</x:v>
      </x:c>
      <x:c r="D41" s="3" t="n">
        <x:f>D35</x:f>
        <x:v>92.66821625500006</x:v>
      </x:c>
      <x:c r="E41" s="3" t="n">
        <x:f>E35</x:f>
        <x:v>93.7998145376996</x:v>
      </x:c>
      <x:c r="F41" s="3" t="n">
        <x:f>F35</x:f>
        <x:v>91.35123145938064</x:v>
      </x:c>
      <x:c r="G41" s="3" t="n">
        <x:f>G35</x:f>
        <x:v>97.4884370684565</x:v>
      </x:c>
      <x:c r="H41" s="3" t="n">
        <x:f>H35</x:f>
        <x:v>77.98513749086783</x:v>
      </x:c>
      <x:c r="I41" s="2"/>
      <x:c r="J41" s="2"/>
    </x:row>
    <x:row r="42" ht="22" customHeight="1">
      <x:c r="A42" s="2"/>
      <x:c r="B42" s="38" t="str">
        <x:v>Unlevered free cash flow proxy</x:v>
      </x:c>
      <x:c r="C42" s="41" t="str">
        <x:v>n/a</x:v>
      </x:c>
      <x:c r="D42" s="41" t="n">
        <x:f>D40-D41</x:f>
        <x:v>690.1035376239199</x:v>
      </x:c>
      <x:c r="E42" s="41" t="n">
        <x:f>E40-E41</x:f>
        <x:v>794.5737129284058</x:v>
      </x:c>
      <x:c r="F42" s="41" t="n">
        <x:f>F40-F41</x:f>
        <x:v>907.9490808694462</x:v>
      </x:c>
      <x:c r="G42" s="41" t="n">
        <x:f>G40-G41</x:f>
        <x:v>1017.7627886422088</x:v>
      </x:c>
      <x:c r="H42" s="41" t="n">
        <x:f>H40-H41</x:f>
        <x:v>1147.656113644792</x:v>
      </x:c>
      <x:c r="I42" s="2"/>
      <x:c r="J42" s="2"/>
    </x:row>
    <x:row r="43" ht="22" customHeight="1">
      <x:c r="A43" s="2"/>
      <x:c r="B43" s="30" t="str">
        <x:v>Free cash flow / revenue</x:v>
      </x:c>
      <x:c r="C43" s="31" t="str">
        <x:v>n/a</x:v>
      </x:c>
      <x:c r="D43" s="31" t="n">
        <x:f>D42/D13</x:f>
        <x:v>0.1580207224785024</x:v>
      </x:c>
      <x:c r="E43" s="31" t="n">
        <x:f>E42/E13</x:f>
        <x:v>0.16315900038785203</x:v>
      </x:c>
      <x:c r="F43" s="31" t="n">
        <x:f>F42/F13</x:f>
        <x:v>0.16863334007837083</x:v>
      </x:c>
      <x:c r="G43" s="31" t="n">
        <x:f>G42/G13</x:f>
        <x:v>0.17183996635305843</x:v>
      </x:c>
      <x:c r="H43" s="31" t="n">
        <x:f>H42/H13</x:f>
        <x:v>0.1779106744248894</x:v>
      </x:c>
      <x:c r="I43" s="2"/>
      <x:c r="J43" s="2"/>
    </x:row>
    <x:row r="44" ht="22" customHeight="1">
      <x:c r="A44" s="2"/>
      <x:c r="B44" s="38" t="str">
        <x:v>Cumulative forecast free cash flow</x:v>
      </x:c>
      <x:c r="C44" s="41" t="str">
        <x:v>n/a</x:v>
      </x:c>
      <x:c r="D44" s="41" t="n">
        <x:f>D42</x:f>
        <x:v>690.1035376239199</x:v>
      </x:c>
      <x:c r="E44" s="41" t="n">
        <x:f>D44+E42</x:f>
        <x:v>1484.6772505523259</x:v>
      </x:c>
      <x:c r="F44" s="41" t="n">
        <x:f>E44+F42</x:f>
        <x:v>2392.626331421772</x:v>
      </x:c>
      <x:c r="G44" s="41" t="n">
        <x:f>F44+G42</x:f>
        <x:v>3410.389120063981</x:v>
      </x:c>
      <x:c r="H44" s="41" t="n">
        <x:f>G44+H42</x:f>
        <x:v>4558.045233708773</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C13-'JB history'!G7</x:f>
        <x:v>0</x:v>
      </x:c>
      <x:c r="D47" s="79" t="n">
        <x:f>D13-C13-C7*D8-C9*D10-C11*D12</x:f>
        <x:v>1.7763568394002505e-13</x:v>
      </x:c>
      <x:c r="E47" s="79" t="n">
        <x:f>E13-D13-D7*E8-D9*E10-D11*E12</x:f>
        <x:v>-1.1652900866465643e-12</x:v>
      </x:c>
      <x:c r="F47" s="79" t="n">
        <x:f>F13-E13-E7*F8-E9*F10-E11*F12</x:f>
        <x:v>8.384404281969182e-13</x:v>
      </x:c>
      <x:c r="G47" s="79" t="n">
        <x:f>G13-F13-F7*G8-F9*G10-F11*G12</x:f>
        <x:v>7.105427357601002e-13</x:v>
      </x:c>
      <x:c r="H47" s="79" t="n">
        <x:f>H13-G13-G7*H8-G9*H10-G11*H12</x:f>
        <x:v>-1.7053025658242404e-13</x:v>
      </x:c>
      <x:c r="I47" s="2"/>
      <x:c r="J47" s="2"/>
    </x:row>
    <x:row r="48" ht="22" customHeight="1">
      <x:c r="A48" s="2"/>
      <x:c r="B48" s="2" t="str">
        <x:v>Free cash flow bridge: difference</x:v>
      </x:c>
      <x:c r="C48" s="79" t="str">
        <x:v>n/a</x:v>
      </x:c>
      <x:c r="D48" s="79" t="n">
        <x:f>D42-(D18-D23-D39-D35)</x:f>
        <x:v>-1.1368683772161603e-13</x:v>
      </x:c>
      <x:c r="E48" s="79" t="n">
        <x:f>E42-(E18-E23-E39-E35)</x:f>
        <x:v>-2.2737367544323206e-13</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10-COUNT(D8,D10,D12,D17,D19,D22,D27,D29,D31,D38)</x:f>
        <x:v>0</x:v>
      </x:c>
      <x:c r="E49" s="79" t="n">
        <x:f>10-COUNT(E8,E10,E12,E17,E19,E22,E27,E29,E31,E38)</x:f>
        <x:v>0</x:v>
      </x:c>
      <x:c r="F49" s="79" t="n">
        <x:f>10-COUNT(F8,F10,F12,F17,F19,F22,F27,F29,F31,F38)</x:f>
        <x:v>0</x:v>
      </x:c>
      <x:c r="G49" s="79" t="n">
        <x:f>10-COUNT(G8,G10,G12,G17,G19,G22,G27,G29,G31,G38)</x:f>
        <x:v>0</x:v>
      </x:c>
      <x:c r="H49" s="79" t="n">
        <x:f>10-COUNT(H8,H10,H12,H17,H19,H22,H27,H29,H31,H38)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3" priority="1" operator="notBetween">
      <x:formula>-0.001</x:formula>
      <x:formula>0.001</x:formula>
    </x:cfRule>
  </x:conditionalFormatting>
  <x:pageMargins left="0.7" right="0.7" top="0.75" bottom="0.75" header="0.3" footer="0.3"/>
</x:worksheet>
</file>

<file path=xl/worksheets/sheet11.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Torrent × JB — transaction model</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24" customHeight="1">
      <x:c r="A5" s="2"/>
      <x:c r="B5" s="2"/>
      <x:c r="C5" s="2"/>
      <x:c r="D5" s="2"/>
      <x:c r="E5" s="2"/>
      <x:c r="F5" s="2"/>
      <x:c r="G5" s="2"/>
      <x:c r="H5" s="2"/>
      <x:c r="I5" s="2"/>
      <x:c r="J5" s="2"/>
    </x:row>
    <x:row r="6" ht="27" customHeight="1">
      <x:c r="A6" s="2"/>
      <x:c r="B6" s="90" t="str">
        <x:v>SELECTED OPEN-OFFER CASE — CASH AND SHARE TRADE-OFF</x:v>
      </x:c>
      <x:c r="C6" s="90"/>
      <x:c r="D6" s="90"/>
      <x:c r="E6" s="90"/>
      <x:c r="F6" s="90"/>
      <x:c r="G6" s="90"/>
      <x:c r="H6" s="90"/>
      <x:c r="I6" s="2"/>
      <x:c r="J6" s="2"/>
    </x:row>
    <x:row r="7" ht="24" customHeight="1">
      <x:c r="A7" s="2"/>
      <x:c r="B7" s="2" t="str">
        <x:v>Cash purchase consideration</x:v>
      </x:c>
      <x:c r="C7" s="28" t="n">
        <x:f>'Sources and uses'!$C$29</x:f>
        <x:v>16058.408252176001</x:v>
      </x:c>
      <x:c r="D7" s="3"/>
      <x:c r="E7" s="3"/>
      <x:c r="F7" s="3"/>
      <x:c r="G7" s="3"/>
      <x:c r="H7" s="3"/>
      <x:c r="I7" s="2"/>
      <x:c r="J7" s="2"/>
    </x:row>
    <x:row r="8" ht="24" customHeight="1">
      <x:c r="A8" s="2"/>
      <x:c r="B8" s="2" t="str">
        <x:v>Transaction and financing fees</x:v>
      </x:c>
      <x:c r="C8" s="28" t="n">
        <x:f>'Sources and uses'!$C$30+'Sources and uses'!$C$31</x:f>
        <x:v>238.25871089155558</x:v>
      </x:c>
      <x:c r="D8" s="3"/>
      <x:c r="E8" s="3"/>
      <x:c r="F8" s="3"/>
      <x:c r="G8" s="3"/>
      <x:c r="H8" s="3"/>
      <x:c r="I8" s="2"/>
      <x:c r="J8" s="2"/>
    </x:row>
    <x:row r="9" ht="24" customHeight="1">
      <x:c r="A9" s="2"/>
      <x:c r="B9" s="98" t="str">
        <x:v>Total funding required</x:v>
      </x:c>
      <x:c r="C9" s="125" t="n">
        <x:f>'Sources and uses'!$C$32</x:f>
        <x:v>16296.666963067557</x:v>
      </x:c>
      <x:c r="D9" s="100"/>
      <x:c r="E9" s="100"/>
      <x:c r="F9" s="100"/>
      <x:c r="G9" s="100"/>
      <x:c r="H9" s="100"/>
      <x:c r="I9" s="2"/>
      <x:c r="J9" s="2"/>
    </x:row>
    <x:row r="10" ht="24" customHeight="1">
      <x:c r="A10" s="2"/>
      <x:c r="B10" s="2" t="str">
        <x:v>Torrent cash contribution</x:v>
      </x:c>
      <x:c r="C10" s="28" t="n">
        <x:f>'Sources and uses'!$C$37</x:f>
        <x:v>500</x:v>
      </x:c>
      <x:c r="D10" s="3"/>
      <x:c r="E10" s="3"/>
      <x:c r="F10" s="3"/>
      <x:c r="G10" s="3"/>
      <x:c r="H10" s="3"/>
      <x:c r="I10" s="2"/>
      <x:c r="J10" s="2"/>
    </x:row>
    <x:row r="11" ht="24" customHeight="1">
      <x:c r="A11" s="2"/>
      <x:c r="B11" s="98" t="str">
        <x:v>New acquisition borrowing</x:v>
      </x:c>
      <x:c r="C11" s="125" t="n">
        <x:f>'Sources and uses'!$C$38</x:f>
        <x:v>15796.666963067557</x:v>
      </x:c>
      <x:c r="D11" s="100"/>
      <x:c r="E11" s="100"/>
      <x:c r="F11" s="100"/>
      <x:c r="G11" s="100"/>
      <x:c r="H11" s="100"/>
      <x:c r="I11" s="2"/>
      <x:c r="J11" s="2"/>
    </x:row>
    <x:row r="12" ht="24" customHeight="1">
      <x:c r="A12" s="2"/>
      <x:c r="B12" s="2" t="str">
        <x:v>Cash ownership before merger</x:v>
      </x:c>
      <x:c r="C12" s="76" t="n">
        <x:f>'Sources and uses'!$C$16</x:f>
        <x:v>0.6219154070661232</x:v>
      </x:c>
      <x:c r="D12" s="3"/>
      <x:c r="E12" s="3"/>
      <x:c r="F12" s="3"/>
      <x:c r="G12" s="3"/>
      <x:c r="H12" s="3"/>
      <x:c r="I12" s="2"/>
      <x:c r="J12" s="2"/>
    </x:row>
    <x:row r="13" ht="24" customHeight="1">
      <x:c r="A13" s="2"/>
      <x:c r="B13" s="2" t="str">
        <x:v>New Torrent merger shares (crore)</x:v>
      </x:c>
      <x:c r="C13" s="108" t="n">
        <x:f>'Sources and uses'!$C$20</x:f>
        <x:v>3.095943422999999</x:v>
      </x:c>
      <x:c r="D13" s="3"/>
      <x:c r="E13" s="3"/>
      <x:c r="F13" s="3"/>
      <x:c r="G13" s="3"/>
      <x:c r="H13" s="3"/>
      <x:c r="I13" s="2"/>
      <x:c r="J13" s="2"/>
    </x:row>
    <x:row r="14" ht="24" customHeight="1">
      <x:c r="A14" s="2"/>
      <x:c r="B14" s="98" t="str">
        <x:v>Total Torrent shares (crore)</x:v>
      </x:c>
      <x:c r="C14" s="128" t="n">
        <x:f>'Sources and uses'!$C$22</x:f>
        <x:v>36.940487423</x:v>
      </x:c>
      <x:c r="D14" s="100"/>
      <x:c r="E14" s="100"/>
      <x:c r="F14" s="100"/>
      <x:c r="G14" s="100"/>
      <x:c r="H14" s="100"/>
      <x:c r="I14" s="2"/>
      <x:c r="J14" s="2"/>
    </x:row>
    <x:row r="15" ht="24" customHeight="1">
      <x:c r="A15" s="2"/>
      <x:c r="B15" s="2" t="str">
        <x:v>Merger shares / pro forma shares</x:v>
      </x:c>
      <x:c r="C15" s="76" t="n">
        <x:f>'Sources and uses'!$C$23</x:f>
        <x:v>0.08380894890608274</x:v>
      </x:c>
      <x:c r="D15" s="3"/>
      <x:c r="E15" s="3"/>
      <x:c r="F15" s="3"/>
      <x:c r="G15" s="3"/>
      <x:c r="H15" s="3"/>
      <x:c r="I15" s="2"/>
      <x:c r="J15" s="2"/>
    </x:row>
    <x:row r="16" ht="24" customHeight="1">
      <x:c r="A16" s="2"/>
      <x:c r="B16" s="98" t="str">
        <x:v>Opening net debt / FY25 EBITDA (x)</x:v>
      </x:c>
      <x:c r="C16" s="131" t="n">
        <x:f>'Sources and uses'!$C$49</x:f>
        <x:v>3.8332271536975413</x:v>
      </x:c>
      <x:c r="D16" s="100"/>
      <x:c r="E16" s="100"/>
      <x:c r="F16" s="100"/>
      <x:c r="G16" s="100"/>
      <x:c r="H16" s="100"/>
      <x:c r="I16" s="2"/>
      <x:c r="J16" s="2"/>
    </x:row>
    <x:row r="17" ht="24" customHeight="1">
      <x:c r="A17" s="2"/>
      <x:c r="B17" s="2"/>
      <x:c r="C17" s="3"/>
      <x:c r="D17" s="3"/>
      <x:c r="E17" s="3"/>
      <x:c r="F17" s="3"/>
      <x:c r="G17" s="3"/>
      <x:c r="H17" s="3"/>
      <x:c r="I17" s="2"/>
      <x:c r="J17" s="2"/>
    </x:row>
    <x:row r="18" ht="27" customHeight="1">
      <x:c r="A18" s="2"/>
      <x:c r="B18" s="90" t="str">
        <x:v>FULL-YEAR PRO FORMA EFFECT — ESTIMATES</x:v>
      </x:c>
      <x:c r="C18" s="102"/>
      <x:c r="D18" s="102"/>
      <x:c r="E18" s="102"/>
      <x:c r="F18" s="102"/>
      <x:c r="G18" s="102"/>
      <x:c r="H18" s="102"/>
      <x:c r="I18" s="2"/>
      <x:c r="J18" s="2"/>
    </x:row>
    <x:row r="19" ht="37" customHeight="1">
      <x:c r="A19" s="2"/>
      <x:c r="B19" s="2"/>
      <x:c r="C19" s="3"/>
      <x:c r="D19" s="132" t="str">
        <x:v>FY26E / Year 1</x:v>
      </x:c>
      <x:c r="E19" s="132" t="str">
        <x:v>FY27E / Year 2</x:v>
      </x:c>
      <x:c r="F19" s="132" t="str">
        <x:v>FY28E / Year 3</x:v>
      </x:c>
      <x:c r="G19" s="132" t="str">
        <x:v>FY29E / Year 4</x:v>
      </x:c>
      <x:c r="H19" s="132" t="str">
        <x:v>FY30E / Year 5</x:v>
      </x:c>
      <x:c r="I19" s="2"/>
      <x:c r="J19" s="2"/>
    </x:row>
    <x:row r="20" ht="24" customHeight="1">
      <x:c r="A20" s="2"/>
      <x:c r="B20" s="2" t="str">
        <x:v>Torrent standalone EPS benchmark</x:v>
      </x:c>
      <x:c r="C20" s="3"/>
      <x:c r="D20" s="28" t="n">
        <x:f>'Merger model'!D11</x:f>
        <x:v>63.79105078065168</x:v>
      </x:c>
      <x:c r="E20" s="28" t="n">
        <x:f>'Merger model'!E11</x:f>
        <x:v>72.49550422729288</x:v>
      </x:c>
      <x:c r="F20" s="28" t="n">
        <x:f>'Merger model'!F11</x:f>
        <x:v>81.79347425721939</x:v>
      </x:c>
      <x:c r="G20" s="28" t="n">
        <x:f>'Merger model'!G11</x:f>
        <x:v>91.42252853251468</x:v>
      </x:c>
      <x:c r="H20" s="28" t="n">
        <x:f>'Merger model'!H11</x:f>
        <x:v>101.50683653967823</x:v>
      </x:c>
      <x:c r="I20" s="2"/>
      <x:c r="J20" s="2"/>
    </x:row>
    <x:row r="21" ht="24" customHeight="1">
      <x:c r="A21" s="2"/>
      <x:c r="B21" s="98" t="str">
        <x:v>Pro forma EPS after PPA assumption</x:v>
      </x:c>
      <x:c r="C21" s="100"/>
      <x:c r="D21" s="125" t="n">
        <x:f>'Merger model'!D33</x:f>
        <x:v>38.029214840942934</x:v>
      </x:c>
      <x:c r="E21" s="125" t="n">
        <x:f>'Merger model'!E33</x:f>
        <x:v>55.767277211511434</x:v>
      </x:c>
      <x:c r="F21" s="125" t="n">
        <x:f>'Merger model'!F33</x:f>
        <x:v>73.63161341769921</x:v>
      </x:c>
      <x:c r="G21" s="125" t="n">
        <x:f>'Merger model'!G33</x:f>
        <x:v>89.86595309185482</x:v>
      </x:c>
      <x:c r="H21" s="125" t="n">
        <x:f>'Merger model'!H33</x:f>
        <x:v>105.95215680752685</x:v>
      </x:c>
      <x:c r="I21" s="2"/>
      <x:c r="J21" s="2"/>
    </x:row>
    <x:row r="22" ht="24" customHeight="1">
      <x:c r="A22" s="2"/>
      <x:c r="B22" s="98" t="str">
        <x:v>EPS accretion / (dilution)</x:v>
      </x:c>
      <x:c r="C22" s="100"/>
      <x:c r="D22" s="135" t="n">
        <x:f>'Merger model'!D34</x:f>
        <x:v>-0.4038471795721307</x:v>
      </x:c>
      <x:c r="E22" s="135" t="n">
        <x:f>'Merger model'!E34</x:f>
        <x:v>-0.23074847459966574</x:v>
      </x:c>
      <x:c r="F22" s="135" t="n">
        <x:f>'Merger model'!F34</x:f>
        <x:v>-0.09978621049710179</x:v>
      </x:c>
      <x:c r="G22" s="135" t="n">
        <x:f>'Merger model'!G34</x:f>
        <x:v>-0.017026169212835285</x:v>
      </x:c>
      <x:c r="H22" s="135" t="n">
        <x:f>'Merger model'!H34</x:f>
        <x:v>0.043793309095106814</x:v>
      </x:c>
      <x:c r="I22" s="2"/>
      <x:c r="J22" s="2"/>
    </x:row>
    <x:row r="23" ht="24" customHeight="1">
      <x:c r="A23" s="2"/>
      <x:c r="B23" s="2" t="str">
        <x:v>EPS before incremental PPA amort.</x:v>
      </x:c>
      <x:c r="C23" s="3"/>
      <x:c r="D23" s="28" t="n">
        <x:f>'Merger model'!D35</x:f>
        <x:v>47.052737717519605</x:v>
      </x:c>
      <x:c r="E23" s="28" t="n">
        <x:f>'Merger model'!E35</x:f>
        <x:v>64.79080008808812</x:v>
      </x:c>
      <x:c r="F23" s="28" t="n">
        <x:f>'Merger model'!F35</x:f>
        <x:v>82.65513629427589</x:v>
      </x:c>
      <x:c r="G23" s="28" t="n">
        <x:f>'Merger model'!G35</x:f>
        <x:v>98.8894759684315</x:v>
      </x:c>
      <x:c r="H23" s="28" t="n">
        <x:f>'Merger model'!H35</x:f>
        <x:v>114.97567968410353</x:v>
      </x:c>
      <x:c r="I23" s="2"/>
      <x:c r="J23" s="2"/>
    </x:row>
    <x:row r="24" ht="24" customHeight="1">
      <x:c r="A24" s="2"/>
      <x:c r="B24" s="2" t="str">
        <x:v>Accretion before incremental PPA</x:v>
      </x:c>
      <x:c r="C24" s="3"/>
      <x:c r="D24" s="76" t="n">
        <x:f>'Merger model'!D36</x:f>
        <x:v>-0.26239280993642033</x:v>
      </x:c>
      <x:c r="E24" s="76" t="n">
        <x:f>'Merger model'!E36</x:f>
        <x:v>-0.10627837162216913</x:v>
      </x:c>
      <x:c r="F24" s="76" t="n">
        <x:f>'Merger model'!F36</x:f>
        <x:v>0.010534606151424653</x:v>
      </x:c>
      <x:c r="G24" s="76" t="n">
        <x:f>'Merger model'!G36</x:f>
        <x:v>0.08167513583111163</x:v>
      </x:c>
      <x:c r="H24" s="76" t="n">
        <x:f>'Merger model'!H36</x:f>
        <x:v>0.13268902473539734</x:v>
      </x:c>
      <x:c r="I24" s="2"/>
      <x:c r="J24" s="2"/>
    </x:row>
    <x:row r="25" ht="24" customHeight="1">
      <x:c r="A25" s="2"/>
      <x:c r="B25" s="2"/>
      <x:c r="C25" s="3"/>
      <x:c r="D25" s="3"/>
      <x:c r="E25" s="3"/>
      <x:c r="F25" s="3"/>
      <x:c r="G25" s="3"/>
      <x:c r="H25" s="3"/>
      <x:c r="I25" s="2"/>
      <x:c r="J25" s="2"/>
    </x:row>
    <x:row r="26" ht="24" customHeight="1">
      <x:c r="A26" s="2"/>
      <x:c r="B26" s="98" t="str">
        <x:v>Acquisition debt at year-end</x:v>
      </x:c>
      <x:c r="C26" s="100"/>
      <x:c r="D26" s="125" t="n">
        <x:f>'Merger model'!D47</x:f>
        <x:v>14724.268028911598</x:v>
      </x:c>
      <x:c r="E26" s="125" t="n">
        <x:f>'Merger model'!E47</x:f>
        <x:v>13323.967767333028</x:v>
      </x:c>
      <x:c r="F26" s="125" t="n">
        <x:f>'Merger model'!F47</x:f>
        <x:v>11545.773488779425</x:v>
      </x:c>
      <x:c r="G26" s="125" t="n">
        <x:f>'Merger model'!G47</x:f>
        <x:v>9425.933451853969</x:v>
      </x:c>
      <x:c r="H26" s="125" t="n">
        <x:f>'Merger model'!H47</x:f>
        <x:v>6961.462845783916</x:v>
      </x:c>
      <x:c r="I26" s="2"/>
      <x:c r="J26" s="2"/>
    </x:row>
    <x:row r="27" ht="24" customHeight="1">
      <x:c r="A27" s="2"/>
      <x:c r="B27" s="2" t="str">
        <x:v>Total gross borrowings at year-end</x:v>
      </x:c>
      <x:c r="C27" s="3"/>
      <x:c r="D27" s="28" t="n">
        <x:f>'Merger model'!D52</x:f>
        <x:v>17764.161828911598</x:v>
      </x:c>
      <x:c r="E27" s="28" t="n">
        <x:f>'Merger model'!E52</x:f>
        <x:v>16363.861567333028</x:v>
      </x:c>
      <x:c r="F27" s="28" t="n">
        <x:f>'Merger model'!F52</x:f>
        <x:v>14585.667288779425</x:v>
      </x:c>
      <x:c r="G27" s="28" t="n">
        <x:f>'Merger model'!G52</x:f>
        <x:v>12465.827251853969</x:v>
      </x:c>
      <x:c r="H27" s="28" t="n">
        <x:f>'Merger model'!H52</x:f>
        <x:v>10001.356645783917</x:v>
      </x:c>
      <x:c r="I27" s="2"/>
      <x:c r="J27" s="2"/>
    </x:row>
    <x:row r="28" ht="24" customHeight="1">
      <x:c r="A28" s="2"/>
      <x:c r="B28" s="2" t="str">
        <x:v>Net debt / (net cash) at year-end</x:v>
      </x:c>
      <x:c r="C28" s="3"/>
      <x:c r="D28" s="28" t="n">
        <x:f>'Merger model'!D53</x:f>
        <x:v>17027.116891783156</x:v>
      </x:c>
      <x:c r="E28" s="28" t="n">
        <x:f>'Merger model'!E53</x:f>
        <x:v>15471.227712251413</x:v>
      </x:c>
      <x:c r="F28" s="28" t="n">
        <x:f>'Merger model'!F53</x:f>
        <x:v>13495.4562916363</x:v>
      </x:c>
      <x:c r="G28" s="28" t="n">
        <x:f>'Merger model'!G53</x:f>
        <x:v>11140.078472830237</x:v>
      </x:c>
      <x:c r="H28" s="28" t="n">
        <x:f>'Merger model'!H53</x:f>
        <x:v>8401.777799419067</x:v>
      </x:c>
      <x:c r="I28" s="2"/>
      <x:c r="J28" s="2"/>
    </x:row>
    <x:row r="29" ht="24" customHeight="1">
      <x:c r="A29" s="2"/>
      <x:c r="B29" s="98" t="str">
        <x:v>Net debt / EBITDA (x)</x:v>
      </x:c>
      <x:c r="C29" s="100"/>
      <x:c r="D29" s="131" t="n">
        <x:f>'Merger model'!D57</x:f>
        <x:v>3.2016503938727756</x:v>
      </x:c>
      <x:c r="E29" s="131" t="n">
        <x:f>'Merger model'!E57</x:f>
        <x:v>2.572350687338048</x:v>
      </x:c>
      <x:c r="F29" s="131" t="n">
        <x:f>'Merger model'!F57</x:f>
        <x:v>2.0017392952228032</x:v>
      </x:c>
      <x:c r="G29" s="131" t="n">
        <x:f>'Merger model'!G57</x:f>
        <x:v>1.4907889887602856</x:v>
      </x:c>
      <x:c r="H29" s="131" t="n">
        <x:f>'Merger model'!H57</x:f>
        <x:v>1.030208158100276</x:v>
      </x:c>
      <x:c r="I29" s="2"/>
      <x:c r="J29" s="2"/>
    </x:row>
    <x:row r="30" ht="24" customHeight="1">
      <x:c r="A30" s="2"/>
      <x:c r="B30" s="2" t="str">
        <x:v>Gross cost synergies</x:v>
      </x:c>
      <x:c r="C30" s="3"/>
      <x:c r="D30" s="28" t="n">
        <x:f>'Merger model'!D22</x:f>
        <x:v>60</x:v>
      </x:c>
      <x:c r="E30" s="28" t="n">
        <x:f>'Merger model'!E22</x:f>
        <x:v>150</x:v>
      </x:c>
      <x:c r="F30" s="28" t="n">
        <x:f>'Merger model'!F22</x:f>
        <x:v>240</x:v>
      </x:c>
      <x:c r="G30" s="28" t="n">
        <x:f>'Merger model'!G22</x:f>
        <x:v>300</x:v>
      </x:c>
      <x:c r="H30" s="28" t="n">
        <x:f>'Merger model'!H22</x:f>
        <x:v>300</x:v>
      </x:c>
      <x:c r="I30" s="2"/>
      <x:c r="J30" s="2"/>
    </x:row>
    <x:row r="31" ht="24" customHeight="1">
      <x:c r="A31" s="2"/>
      <x:c r="B31" s="2"/>
      <x:c r="C31" s="3"/>
      <x:c r="D31" s="3"/>
      <x:c r="E31" s="3"/>
      <x:c r="F31" s="3"/>
      <x:c r="G31" s="3"/>
      <x:c r="H31" s="3"/>
      <x:c r="I31" s="2"/>
      <x:c r="J31" s="2"/>
    </x:row>
    <x:row r="32" ht="27" customHeight="1">
      <x:c r="A32" s="2"/>
      <x:c r="B32" s="90" t="str">
        <x:v>HOW TO USE THE MODEL</x:v>
      </x:c>
      <x:c r="C32" s="102"/>
      <x:c r="D32" s="102"/>
      <x:c r="E32" s="102"/>
      <x:c r="F32" s="102"/>
      <x:c r="G32" s="102"/>
      <x:c r="H32" s="102"/>
      <x:c r="I32" s="2"/>
      <x:c r="J32" s="2"/>
    </x:row>
    <x:row r="33" ht="45" customHeight="1">
      <x:c r="A33" s="2"/>
      <x:c r="B33" s="86" t="str">
        <x:v>1  Open Deal inputs. Change C4 to 1 Low, 2 Partial or 3 Full. This controls take-up of the 26% offer capacity. The default Partial case is an illustration, not a forecast of tender behaviour.</x:v>
      </x:c>
      <x:c r="C33" s="103"/>
      <x:c r="D33" s="103"/>
      <x:c r="E33" s="103"/>
      <x:c r="F33" s="103"/>
      <x:c r="G33" s="103"/>
      <x:c r="H33" s="103"/>
      <x:c r="I33" s="2"/>
      <x:c r="J33" s="2"/>
    </x:row>
    <x:row r="34" ht="43" customHeight="1">
      <x:c r="A34" s="2"/>
      <x:c r="B34" s="86" t="str">
        <x:v>2  Change Assumptions!C4 for Base / Upside / Downside operating performance. The operating case and open-offer case are separate controls; all deal outputs use the active combination.</x:v>
      </x:c>
      <x:c r="C34" s="103"/>
      <x:c r="D34" s="103"/>
      <x:c r="E34" s="103"/>
      <x:c r="F34" s="103"/>
      <x:c r="G34" s="103"/>
      <x:c r="H34" s="103"/>
      <x:c r="I34" s="2"/>
      <x:c r="J34" s="2"/>
    </x:row>
    <x:row r="35" ht="44" customHeight="1">
      <x:c r="A35" s="2"/>
      <x:c r="B35" s="86" t="str">
        <x:v>3  Review blue analyst inputs for financing, fees, synergy ramp, integration costs and amortisation. Trace consideration through Sources and uses, then follow EPS and debt repayment in Merger model.</x:v>
      </x:c>
      <x:c r="C35" s="103"/>
      <x:c r="D35" s="103"/>
      <x:c r="E35" s="103"/>
      <x:c r="F35" s="103"/>
      <x:c r="G35" s="103"/>
      <x:c r="H35" s="103"/>
      <x:c r="I35" s="2"/>
      <x:c r="J35" s="2"/>
    </x:row>
    <x:row r="36" ht="44" customHeight="1">
      <x:c r="A36" s="2"/>
      <x:c r="B36" s="86" t="str">
        <x:v>4  Compare the same outputs after changing the offer case. More take-up raises cash and borrowing while reducing new shares. The effect on EPS depends on interest costs and subsequent debt repayment.</x:v>
      </x:c>
      <x:c r="C36" s="103"/>
      <x:c r="D36" s="103"/>
      <x:c r="E36" s="103"/>
      <x:c r="F36" s="103"/>
      <x:c r="G36" s="103"/>
      <x:c r="H36" s="103"/>
      <x:c r="I36" s="2"/>
      <x:c r="J36" s="2"/>
    </x:row>
    <x:row r="37" ht="24" customHeight="1">
      <x:c r="A37" s="2"/>
      <x:c r="B37" s="2"/>
      <x:c r="C37" s="3"/>
      <x:c r="D37" s="3"/>
      <x:c r="E37" s="3"/>
      <x:c r="F37" s="3"/>
      <x:c r="G37" s="3"/>
      <x:c r="H37" s="3"/>
      <x:c r="I37" s="2"/>
      <x:c r="J37" s="2"/>
    </x:row>
    <x:row r="38" ht="43" customHeight="1">
      <x:c r="A38" s="2"/>
      <x:c r="B38" s="86" t="str">
        <x:v>Interpretation: accretion is an earnings-per-share comparison, not proof of value creation. A DCF, synergy valuation and return-versus-cost-of-capital analysis are the next analytical stage.</x:v>
      </x:c>
      <x:c r="C38" s="103"/>
      <x:c r="D38" s="103"/>
      <x:c r="E38" s="103"/>
      <x:c r="F38" s="103"/>
      <x:c r="G38" s="103"/>
      <x:c r="H38" s="103"/>
      <x:c r="I38" s="2"/>
      <x:c r="J38" s="2"/>
    </x:row>
    <x:row r="39" ht="43" customHeight="1">
      <x:c r="A39" s="2"/>
      <x:c r="B39" s="86" t="str">
        <x:v>This is an announcement-date teaching model, with an illustrative day-one completed merger and a simplified PPA charge. It does not forecast actual closing dates or statutory reported earnings.</x:v>
      </x:c>
      <x:c r="C39" s="103"/>
      <x:c r="D39" s="103"/>
      <x:c r="E39" s="103"/>
      <x:c r="F39" s="103"/>
      <x:c r="G39" s="103"/>
      <x:c r="H39" s="103"/>
      <x:c r="I39" s="2"/>
      <x:c r="J39" s="2"/>
    </x:row>
    <x:row r="40" ht="24" customHeight="1">
      <x:c r="A40" s="2"/>
      <x:c r="B40" s="2"/>
      <x:c r="C40" s="3"/>
      <x:c r="D40" s="3"/>
      <x:c r="E40" s="3"/>
      <x:c r="F40" s="3"/>
      <x:c r="G40" s="3"/>
      <x:c r="H40" s="3"/>
      <x:c r="I40" s="2"/>
      <x:c r="J40" s="2"/>
    </x:row>
    <x:row r="41" ht="24" customHeight="1">
      <x:c r="A41" s="2"/>
      <x:c r="B41" s="2"/>
      <x:c r="C41" s="3"/>
      <x:c r="D41" s="3"/>
      <x:c r="E41" s="3"/>
      <x:c r="F41" s="3"/>
      <x:c r="G41" s="3"/>
      <x:c r="H41" s="3"/>
      <x:c r="I41" s="2"/>
      <x:c r="J41" s="2"/>
    </x:row>
    <x:row r="42" ht="24" customHeight="1">
      <x:c r="A42" s="2"/>
      <x:c r="B42" s="2"/>
      <x:c r="C42" s="3"/>
      <x:c r="D42" s="3"/>
      <x:c r="E42" s="3"/>
      <x:c r="F42" s="3"/>
      <x:c r="G42" s="3"/>
      <x:c r="H42" s="3"/>
      <x:c r="I42" s="2"/>
      <x:c r="J42" s="2"/>
    </x:row>
    <x:row r="43" ht="24" customHeight="1">
      <x:c r="A43" s="2"/>
      <x:c r="B43" s="2"/>
      <x:c r="C43" s="3"/>
      <x:c r="D43" s="3"/>
      <x:c r="E43" s="3"/>
      <x:c r="F43" s="3"/>
      <x:c r="G43" s="3"/>
      <x:c r="H43" s="3"/>
      <x:c r="I43" s="2"/>
      <x:c r="J43" s="2"/>
    </x:row>
    <x:row r="44" ht="24" customHeight="1">
      <x:c r="A44" s="2"/>
      <x:c r="B44" s="2"/>
      <x:c r="C44" s="3"/>
      <x:c r="D44" s="3"/>
      <x:c r="E44" s="3"/>
      <x:c r="F44" s="3"/>
      <x:c r="G44" s="3"/>
      <x:c r="H44" s="3"/>
      <x:c r="I44" s="2"/>
      <x:c r="J44" s="2"/>
    </x:row>
    <x:row r="45" ht="24" customHeight="1">
      <x:c r="A45" s="2"/>
      <x:c r="B45" s="2"/>
      <x:c r="C45" s="3"/>
      <x:c r="D45" s="3"/>
      <x:c r="E45" s="3"/>
      <x:c r="F45" s="3"/>
      <x:c r="G45" s="3"/>
      <x:c r="H45" s="3"/>
      <x:c r="I45" s="2"/>
      <x:c r="J45" s="2"/>
    </x:row>
    <x:row r="46" ht="24" customHeight="1">
      <x:c r="A46" s="2"/>
      <x:c r="B46" s="2"/>
      <x:c r="C46" s="3"/>
      <x:c r="D46" s="3"/>
      <x:c r="E46" s="3"/>
      <x:c r="F46" s="3"/>
      <x:c r="G46" s="3"/>
      <x:c r="H46" s="3"/>
      <x:c r="I46" s="2"/>
      <x:c r="J46" s="2"/>
    </x:row>
    <x:row r="47" ht="24" customHeight="1">
      <x:c r="A47" s="2"/>
      <x:c r="B47" s="2"/>
      <x:c r="C47" s="3"/>
      <x:c r="D47" s="3"/>
      <x:c r="E47" s="3"/>
      <x:c r="F47" s="3"/>
      <x:c r="G47" s="3"/>
      <x:c r="H47" s="3"/>
      <x:c r="I47" s="2"/>
      <x:c r="J47" s="2"/>
    </x:row>
    <x:row r="48" ht="24" customHeight="1">
      <x:c r="A48" s="2"/>
      <x:c r="B48" s="2"/>
      <x:c r="C48" s="3"/>
      <x:c r="D48" s="3"/>
      <x:c r="E48" s="3"/>
      <x:c r="F48" s="3"/>
      <x:c r="G48" s="3"/>
      <x:c r="H48" s="3"/>
      <x:c r="I48" s="2"/>
      <x:c r="J48" s="2"/>
    </x:row>
    <x:row r="49" ht="24" customHeight="1">
      <x:c r="A49" s="2"/>
      <x:c r="B49" s="2"/>
      <x:c r="C49" s="3"/>
      <x:c r="D49" s="3"/>
      <x:c r="E49" s="3"/>
      <x:c r="F49" s="3"/>
      <x:c r="G49" s="3"/>
      <x:c r="H49" s="3"/>
      <x:c r="I49" s="2"/>
      <x:c r="J49" s="2"/>
    </x:row>
    <x:row r="50" ht="24" customHeight="1">
      <x:c r="A50" s="2"/>
      <x:c r="B50" s="2"/>
      <x:c r="C50" s="3"/>
      <x:c r="D50" s="3"/>
      <x:c r="E50" s="3"/>
      <x:c r="F50" s="3"/>
      <x:c r="G50" s="3"/>
      <x:c r="H50" s="3"/>
      <x:c r="I50" s="2"/>
      <x:c r="J50" s="2"/>
    </x:row>
    <x:row r="51" ht="24" customHeight="1">
      <x:c r="A51" s="2"/>
      <x:c r="B51" s="2"/>
      <x:c r="C51" s="3"/>
      <x:c r="D51" s="3"/>
      <x:c r="E51" s="3"/>
      <x:c r="F51" s="3"/>
      <x:c r="G51" s="3"/>
      <x:c r="H51" s="3"/>
      <x:c r="I51" s="2"/>
      <x:c r="J51" s="2"/>
    </x:row>
    <x:row r="52" ht="24" customHeight="1">
      <x:c r="A52" s="2"/>
      <x:c r="B52" s="2"/>
      <x:c r="C52" s="3"/>
      <x:c r="D52" s="3"/>
      <x:c r="E52" s="3"/>
      <x:c r="F52" s="3"/>
      <x:c r="G52" s="3"/>
      <x:c r="H52" s="3"/>
      <x:c r="I52" s="2"/>
      <x:c r="J52" s="2"/>
    </x:row>
    <x:row r="53" ht="24" customHeight="1">
      <x:c r="A53" s="2"/>
      <x:c r="B53" s="2"/>
      <x:c r="C53" s="3"/>
      <x:c r="D53" s="3"/>
      <x:c r="E53" s="3"/>
      <x:c r="F53" s="3"/>
      <x:c r="G53" s="3"/>
      <x:c r="H53" s="3"/>
      <x:c r="I53" s="2"/>
      <x:c r="J53" s="2"/>
    </x:row>
  </x:sheetData>
  <x:mergeCells>
    <x:mergeCell ref="B2:H2"/>
    <x:mergeCell ref="B3:H3"/>
    <x:mergeCell ref="B6:H6"/>
    <x:mergeCell ref="B18:H18"/>
    <x:mergeCell ref="B32:H32"/>
    <x:mergeCell ref="B33:H33"/>
    <x:mergeCell ref="B34:H34"/>
    <x:mergeCell ref="B35:H35"/>
    <x:mergeCell ref="B36:H36"/>
    <x:mergeCell ref="B38:H38"/>
    <x:mergeCell ref="B39:H39"/>
  </x:mergeCells>
  <x:pageMargins left="0.7" right="0.7" top="0.75" bottom="0.75" header="0.3" footer="0.3"/>
</x:worksheet>
</file>

<file path=xl/worksheets/sheet12.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Transaction assumptions and source facts</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selector (1–3)</x:v>
      </x:c>
      <x:c r="C4" s="88" t="n">
        <x:v>2</x:v>
      </x:c>
      <x:c r="D4" s="2" t="str">
        <x:f>IF(C4=1,"Low",IF(C4=2,"Partial",IF(C4=3,"Full","Invalid")))</x:f>
        <x:v>Partial</x:v>
      </x:c>
      <x:c r="E4" s="2"/>
      <x:c r="F4" s="2" t="str">
        <x:v>Operating case</x:v>
      </x:c>
      <x:c r="G4" s="53" t="str">
        <x:f>Assumptions!D4</x:f>
        <x:v>Base</x:v>
      </x:c>
      <x:c r="H4" s="2"/>
      <x:c r="I4" s="2"/>
      <x:c r="J4" s="2"/>
    </x:row>
    <x:row r="5" ht="24" customHeight="1">
      <x:c r="A5" s="2"/>
      <x:c r="B5" s="2"/>
      <x:c r="C5" s="2"/>
      <x:c r="D5" s="2"/>
      <x:c r="E5" s="2"/>
      <x:c r="F5" s="2"/>
      <x:c r="G5" s="2"/>
      <x:c r="H5" s="2"/>
      <x:c r="I5" s="2"/>
      <x:c r="J5" s="2"/>
    </x:row>
    <x:row r="6" ht="27" customHeight="1">
      <x:c r="A6" s="2"/>
      <x:c r="B6" s="90" t="str">
        <x:v>OPEN-OFFER PARTICIPATION — SHARE OF OFFER CAPACITY</x:v>
      </x:c>
      <x:c r="C6" s="90"/>
      <x:c r="D6" s="90"/>
      <x:c r="E6" s="90"/>
      <x:c r="F6" s="90"/>
      <x:c r="G6" s="90"/>
      <x:c r="H6" s="90"/>
      <x:c r="I6" s="2"/>
      <x:c r="J6" s="2"/>
    </x:row>
    <x:row r="7" ht="24" customHeight="1">
      <x:c r="A7" s="2"/>
      <x:c r="B7" s="98" t="str">
        <x:v>Active take-up</x:v>
      </x:c>
      <x:c r="C7" s="99" t="n">
        <x:f>IF(OR(C4=1,C4=2,C4=3),IF(CHOOSE(C4,ISNUMBER(C8),ISNUMBER(C9),ISNUMBER(C10)),CHOOSE(C4,C8,C9,C10),NA()),NA())</x:f>
        <x:v>0.5</x:v>
      </x:c>
      <x:c r="D7" s="100"/>
      <x:c r="E7" s="100"/>
      <x:c r="F7" s="100"/>
      <x:c r="G7" s="100"/>
      <x:c r="H7" s="100"/>
      <x:c r="I7" s="2"/>
      <x:c r="J7" s="2"/>
    </x:row>
    <x:row r="8" ht="24" customHeight="1">
      <x:c r="A8" s="2"/>
      <x:c r="B8" s="2" t="str">
        <x:v>Low: no offer shares bought</x:v>
      </x:c>
      <x:c r="C8" s="91" t="n">
        <x:v>0</x:v>
      </x:c>
      <x:c r="D8" s="3"/>
      <x:c r="E8" s="3"/>
      <x:c r="F8" s="3"/>
      <x:c r="G8" s="3"/>
      <x:c r="H8" s="3"/>
      <x:c r="I8" s="2"/>
      <x:c r="J8" s="2"/>
    </x:row>
    <x:row r="9" ht="24" customHeight="1">
      <x:c r="A9" s="2"/>
      <x:c r="B9" s="2" t="str">
        <x:v>Partial: half of offer shares bought</x:v>
      </x:c>
      <x:c r="C9" s="91" t="n">
        <x:v>0.5</x:v>
      </x:c>
      <x:c r="D9" s="3"/>
      <x:c r="E9" s="3"/>
      <x:c r="F9" s="3"/>
      <x:c r="G9" s="3"/>
      <x:c r="H9" s="3"/>
      <x:c r="I9" s="2"/>
      <x:c r="J9" s="2"/>
    </x:row>
    <x:row r="10" ht="24" customHeight="1">
      <x:c r="A10" s="2"/>
      <x:c r="B10" s="2" t="str">
        <x:v>Full: all offer shares bought</x:v>
      </x:c>
      <x:c r="C10" s="91" t="n">
        <x:v>1</x:v>
      </x:c>
      <x:c r="D10" s="3"/>
      <x:c r="E10" s="3"/>
      <x:c r="F10" s="3"/>
      <x:c r="G10" s="3"/>
      <x:c r="H10" s="3"/>
      <x:c r="I10" s="2"/>
      <x:c r="J10" s="2"/>
    </x:row>
    <x:row r="11" ht="24" customHeight="1">
      <x:c r="A11" s="2"/>
      <x:c r="B11" s="2"/>
      <x:c r="C11" s="3"/>
      <x:c r="D11" s="3"/>
      <x:c r="E11" s="3"/>
      <x:c r="F11" s="3"/>
      <x:c r="G11" s="3"/>
      <x:c r="H11" s="3"/>
      <x:c r="I11" s="2"/>
      <x:c r="J11" s="2"/>
    </x:row>
    <x:row r="12" ht="27" customHeight="1">
      <x:c r="A12" s="2"/>
      <x:c r="B12" s="90" t="str">
        <x:v>ANNOUNCED FACTS — COUNTS ARE INDIVIDUAL SHARES</x:v>
      </x:c>
      <x:c r="C12" s="102"/>
      <x:c r="D12" s="102"/>
      <x:c r="E12" s="102"/>
      <x:c r="F12" s="102"/>
      <x:c r="G12" s="102"/>
      <x:c r="H12" s="102"/>
      <x:c r="I12" s="2"/>
      <x:c r="J12" s="2"/>
    </x:row>
    <x:row r="13" ht="38" customHeight="1">
      <x:c r="A13" s="2"/>
      <x:c r="B13" s="2" t="str">
        <x:v>JB issued shares at announcement</x:v>
      </x:c>
      <x:c r="C13" s="23" t="n">
        <x:v>156058924</x:v>
      </x:c>
      <x:c r="D13" s="3"/>
      <x:c r="E13" s="103" t="str">
        <x:v>DPS §4.7 reconciles announcement capital; published 4 July 2025.</x:v>
      </x:c>
      <x:c r="F13" s="103"/>
      <x:c r="G13" s="103"/>
      <x:c r="H13" s="103"/>
      <x:c r="I13" s="2"/>
      <x:c r="J13" s="2"/>
    </x:row>
    <x:row r="14" ht="38" customHeight="1">
      <x:c r="A14" s="2"/>
      <x:c r="B14" s="2" t="str">
        <x:v>JB ESOP shares included in expanded capital</x:v>
      </x:c>
      <x:c r="C14" s="23" t="n">
        <x:v>4499782</x:v>
      </x:c>
      <x:c r="D14" s="3"/>
      <x:c r="E14" s="103" t="str">
        <x:v>Public announcement, definition of expanded capital. Already included once in the build.</x:v>
      </x:c>
      <x:c r="F14" s="103"/>
      <x:c r="G14" s="103"/>
      <x:c r="H14" s="103"/>
      <x:c r="I14" s="2"/>
      <x:c r="J14" s="2"/>
    </x:row>
    <x:row r="15" ht="38" customHeight="1">
      <x:c r="A15" s="2"/>
      <x:c r="B15" s="2" t="str">
        <x:v>KKR / Tau shares purchased</x:v>
      </x:c>
      <x:c r="C15" s="23" t="n">
        <x:v>74481519</x:v>
      </x:c>
      <x:c r="D15" s="3"/>
      <x:c r="E15" s="103" t="str">
        <x:v>29 June exchange disclosure, annexure A.</x:v>
      </x:c>
      <x:c r="F15" s="103"/>
      <x:c r="G15" s="103"/>
      <x:c r="H15" s="103"/>
      <x:c r="I15" s="2"/>
      <x:c r="J15" s="2"/>
    </x:row>
    <x:row r="16" ht="38" customHeight="1">
      <x:c r="A16" s="2"/>
      <x:c r="B16" s="2" t="str">
        <x:v>KKR cash price (INR / share)</x:v>
      </x:c>
      <x:c r="C16" s="23" t="n">
        <x:v>1600</x:v>
      </x:c>
      <x:c r="D16" s="3"/>
      <x:c r="E16" s="103" t="str">
        <x:v>29 June exchange disclosure.</x:v>
      </x:c>
      <x:c r="F16" s="103"/>
      <x:c r="G16" s="103"/>
      <x:c r="H16" s="103"/>
      <x:c r="I16" s="2"/>
      <x:c r="J16" s="2"/>
    </x:row>
    <x:row r="17" ht="38" customHeight="1">
      <x:c r="A17" s="2"/>
      <x:c r="B17" s="2" t="str">
        <x:v>Employee purchase maximum (shares)</x:v>
      </x:c>
      <x:c r="C17" s="23" t="n">
        <x:v>4499782</x:v>
      </x:c>
      <x:c r="D17" s="3"/>
      <x:c r="E17" s="103" t="str">
        <x:v>29 June disclosure: potential purchase, subject to exercise; not a completed purchase.</x:v>
      </x:c>
      <x:c r="F17" s="103"/>
      <x:c r="G17" s="103"/>
      <x:c r="H17" s="103"/>
      <x:c r="I17" s="2"/>
      <x:c r="J17" s="2"/>
    </x:row>
    <x:row r="18" ht="38" customHeight="1">
      <x:c r="A18" s="2"/>
      <x:c r="B18" s="2" t="str">
        <x:v>Employee maximum price (INR / share)</x:v>
      </x:c>
      <x:c r="C18" s="23" t="n">
        <x:v>1600</x:v>
      </x:c>
      <x:c r="D18" s="3"/>
      <x:c r="E18" s="103" t="str">
        <x:v>29 June disclosure: price not exceeding INR 1,600.</x:v>
      </x:c>
      <x:c r="F18" s="103"/>
      <x:c r="G18" s="103"/>
      <x:c r="H18" s="103"/>
      <x:c r="I18" s="2"/>
      <x:c r="J18" s="2"/>
    </x:row>
    <x:row r="19" ht="38" customHeight="1">
      <x:c r="A19" s="2"/>
      <x:c r="B19" s="2" t="str">
        <x:v>Maximum open-offer shares</x:v>
      </x:c>
      <x:c r="C19" s="23" t="n">
        <x:v>41745264</x:v>
      </x:c>
      <x:c r="D19" s="3"/>
      <x:c r="E19" s="103" t="str">
        <x:v>29 June public announcement, offer size.</x:v>
      </x:c>
      <x:c r="F19" s="103"/>
      <x:c r="G19" s="103"/>
      <x:c r="H19" s="103"/>
      <x:c r="I19" s="2"/>
      <x:c r="J19" s="2"/>
    </x:row>
    <x:row r="20" ht="38" customHeight="1">
      <x:c r="A20" s="2"/>
      <x:c r="B20" s="2" t="str">
        <x:v>Open-offer price (INR / share)</x:v>
      </x:c>
      <x:c r="C20" s="104" t="n">
        <x:v>1639.18</x:v>
      </x:c>
      <x:c r="D20" s="3"/>
      <x:c r="E20" s="103" t="str">
        <x:v>29 June public announcement, offer price.</x:v>
      </x:c>
      <x:c r="F20" s="103"/>
      <x:c r="G20" s="103"/>
      <x:c r="H20" s="103"/>
      <x:c r="I20" s="2"/>
      <x:c r="J20" s="2"/>
    </x:row>
    <x:row r="21" ht="38" customHeight="1">
      <x:c r="A21" s="2"/>
      <x:c r="B21" s="2" t="str">
        <x:v>Torrent shares per remaining JB share</x:v>
      </x:c>
      <x:c r="C21" s="104" t="n">
        <x:v>0.51</x:v>
      </x:c>
      <x:c r="D21" s="3"/>
      <x:c r="E21" s="103" t="str">
        <x:v>29 June exchange disclosure: 51 Torrent shares per 100 JB shares; own holdings cancelled.</x:v>
      </x:c>
      <x:c r="F21" s="103"/>
      <x:c r="G21" s="103"/>
      <x:c r="H21" s="103"/>
      <x:c r="I21" s="2"/>
      <x:c r="J21" s="2"/>
    </x:row>
    <x:row r="22" ht="38" customHeight="1">
      <x:c r="A22" s="2"/>
      <x:c r="B22" s="2" t="str">
        <x:v>Shares / rupees per crore</x:v>
      </x:c>
      <x:c r="C22" s="23" t="n">
        <x:v>10000000</x:v>
      </x:c>
      <x:c r="D22" s="3"/>
      <x:c r="E22" s="103" t="str">
        <x:v>Unit conversion.</x:v>
      </x:c>
      <x:c r="F22" s="103"/>
      <x:c r="G22" s="103"/>
      <x:c r="H22" s="103"/>
      <x:c r="I22" s="2"/>
      <x:c r="J22" s="2"/>
    </x:row>
    <x:row r="23" ht="24" customHeight="1">
      <x:c r="A23" s="2"/>
      <x:c r="B23" s="2"/>
      <x:c r="C23" s="3"/>
      <x:c r="D23" s="3"/>
      <x:c r="E23" s="3"/>
      <x:c r="F23" s="3"/>
      <x:c r="G23" s="3"/>
      <x:c r="H23" s="3"/>
      <x:c r="I23" s="2"/>
      <x:c r="J23" s="2"/>
    </x:row>
    <x:row r="24" ht="27" customHeight="1">
      <x:c r="A24" s="2"/>
      <x:c r="B24" s="90" t="str">
        <x:v>ANALYST ASSUMPTIONS — EDIT BLUE CELLS</x:v>
      </x:c>
      <x:c r="C24" s="102"/>
      <x:c r="D24" s="102"/>
      <x:c r="E24" s="102"/>
      <x:c r="F24" s="102"/>
      <x:c r="G24" s="102"/>
      <x:c r="H24" s="102"/>
      <x:c r="I24" s="2"/>
      <x:c r="J24" s="2"/>
    </x:row>
    <x:row r="25" ht="44" customHeight="1">
      <x:c r="A25" s="2"/>
      <x:c r="B25" s="51" t="str">
        <x:v>Employee cap purchased</x:v>
      </x:c>
      <x:c r="C25" s="107" t="n">
        <x:v>1</x:v>
      </x:c>
      <x:c r="D25" s="3"/>
      <x:c r="E25" s="103" t="str">
        <x:v>Full announcement cap is assumed. No July signed quantity or later closing outcome is used.</x:v>
      </x:c>
      <x:c r="F25" s="103"/>
      <x:c r="G25" s="103"/>
      <x:c r="H25" s="103"/>
      <x:c r="I25" s="2"/>
      <x:c r="J25" s="2"/>
    </x:row>
    <x:row r="26" ht="44" customHeight="1">
      <x:c r="A26" s="2"/>
      <x:c r="B26" s="51" t="str">
        <x:v>Torrent cash contribution requested</x:v>
      </x:c>
      <x:c r="C26" s="106" t="n">
        <x:v>500</x:v>
      </x:c>
      <x:c r="D26" s="3"/>
      <x:c r="E26" s="103" t="str">
        <x:v>Fund from Torrent cash and current investments only. JB liquidity is retained at closing.</x:v>
      </x:c>
      <x:c r="F26" s="103"/>
      <x:c r="G26" s="103"/>
      <x:c r="H26" s="103"/>
      <x:c r="I26" s="2"/>
      <x:c r="J26" s="2"/>
    </x:row>
    <x:row r="27" ht="44" customHeight="1">
      <x:c r="A27" s="2"/>
      <x:c r="B27" s="51" t="str">
        <x:v>Minimum Torrent opening liquidity</x:v>
      </x:c>
      <x:c r="C27" s="106" t="n">
        <x:v>150</x:v>
      </x:c>
      <x:c r="D27" s="3"/>
      <x:c r="E27" s="103" t="str">
        <x:v>Analyst operating reserve; cash use is capped by available liquidity less this reserve.</x:v>
      </x:c>
      <x:c r="F27" s="103"/>
      <x:c r="G27" s="103"/>
      <x:c r="H27" s="103"/>
      <x:c r="I27" s="2"/>
      <x:c r="J27" s="2"/>
    </x:row>
    <x:row r="28" ht="44" customHeight="1">
      <x:c r="A28" s="2"/>
      <x:c r="B28" s="51" t="str">
        <x:v>New borrowing interest rate</x:v>
      </x:c>
      <x:c r="C28" s="107" t="n">
        <x:v>0.085</x:v>
      </x:c>
      <x:c r="D28" s="3"/>
      <x:c r="E28" s="103" t="str">
        <x:v>Illustrative annual cost; not a committed financing term.</x:v>
      </x:c>
      <x:c r="F28" s="103"/>
      <x:c r="G28" s="103"/>
      <x:c r="H28" s="103"/>
      <x:c r="I28" s="2"/>
      <x:c r="J28" s="2"/>
    </x:row>
    <x:row r="29" ht="44" customHeight="1">
      <x:c r="A29" s="2"/>
      <x:c r="B29" s="51" t="str">
        <x:v>Legacy borrowing interest rate</x:v>
      </x:c>
      <x:c r="C29" s="107" t="n">
        <x:v>0.085</x:v>
      </x:c>
      <x:c r="D29" s="3"/>
      <x:c r="E29" s="103" t="str">
        <x:v>Normalised interest on FY25 debt, held constant in both benchmarks. Excludes leases.</x:v>
      </x:c>
      <x:c r="F29" s="103"/>
      <x:c r="G29" s="103"/>
      <x:c r="H29" s="103"/>
      <x:c r="I29" s="2"/>
      <x:c r="J29" s="2"/>
    </x:row>
    <x:row r="30" ht="44" customHeight="1">
      <x:c r="A30" s="2"/>
      <x:c r="B30" s="51" t="str">
        <x:v>Cash yield forgone on contribution</x:v>
      </x:c>
      <x:c r="C30" s="107" t="n">
        <x:v>0.04</x:v>
      </x:c>
      <x:c r="D30" s="3"/>
      <x:c r="E30" s="103" t="str">
        <x:v>Reduces pro forma income. No incremental yield on subsequently retained cash.</x:v>
      </x:c>
      <x:c r="F30" s="103"/>
      <x:c r="G30" s="103"/>
      <x:c r="H30" s="103"/>
      <x:c r="I30" s="2"/>
      <x:c r="J30" s="2"/>
    </x:row>
    <x:row r="31" ht="44" customHeight="1">
      <x:c r="A31" s="2"/>
      <x:c r="B31" s="51" t="str">
        <x:v>Transaction fee / cash consideration</x:v>
      </x:c>
      <x:c r="C31" s="107" t="n">
        <x:v>0.005</x:v>
      </x:c>
      <x:c r="D31" s="3"/>
      <x:c r="E31" s="103" t="str">
        <x:v>Paid at closing and expensed in first model year; no tax deduction assumed.</x:v>
      </x:c>
      <x:c r="F31" s="103"/>
      <x:c r="G31" s="103"/>
      <x:c r="H31" s="103"/>
      <x:c r="I31" s="2"/>
      <x:c r="J31" s="2"/>
    </x:row>
    <x:row r="32" ht="44" customHeight="1">
      <x:c r="A32" s="2"/>
      <x:c r="B32" s="51" t="str">
        <x:v>Financing fee / new borrowing</x:v>
      </x:c>
      <x:c r="C32" s="107" t="n">
        <x:v>0.01</x:v>
      </x:c>
      <x:c r="D32" s="3"/>
      <x:c r="E32" s="103" t="str">
        <x:v>Funded in new debt; annual expense is simplified straight-line over five years.</x:v>
      </x:c>
      <x:c r="F32" s="103"/>
      <x:c r="G32" s="103"/>
      <x:c r="H32" s="103"/>
      <x:c r="I32" s="2"/>
      <x:c r="J32" s="2"/>
    </x:row>
    <x:row r="33" ht="44" customHeight="1">
      <x:c r="A33" s="2"/>
      <x:c r="B33" s="51" t="str">
        <x:v>Financing fee amortisation (years)</x:v>
      </x:c>
      <x:c r="C33" s="106" t="n">
        <x:v>5</x:v>
      </x:c>
      <x:c r="D33" s="3"/>
      <x:c r="E33" s="103" t="str">
        <x:v>Illustrative five-year facility. No early fee write-off on voluntary repayment is modelled.</x:v>
      </x:c>
      <x:c r="F33" s="103"/>
      <x:c r="G33" s="103"/>
      <x:c r="H33" s="103"/>
      <x:c r="I33" s="2"/>
      <x:c r="J33" s="2"/>
    </x:row>
    <x:row r="34" ht="44" customHeight="1">
      <x:c r="A34" s="2"/>
      <x:c r="B34" s="51" t="str">
        <x:v>Tax rate on deal adjustments</x:v>
      </x:c>
      <x:c r="C34" s="107" t="n">
        <x:v>0.26</x:v>
      </x:c>
      <x:c r="D34" s="3"/>
      <x:c r="E34" s="103" t="str">
        <x:v>Assumes immediate tax benefit for interest and integration costs; not a tax opinion.</x:v>
      </x:c>
      <x:c r="F34" s="103"/>
      <x:c r="G34" s="103"/>
      <x:c r="H34" s="103"/>
      <x:c r="I34" s="2"/>
      <x:c r="J34" s="2"/>
    </x:row>
    <x:row r="35" ht="44" customHeight="1">
      <x:c r="A35" s="2"/>
      <x:c r="B35" s="51" t="str">
        <x:v>Annual recurring synergy at full ramp</x:v>
      </x:c>
      <x:c r="C35" s="106" t="n">
        <x:v>300</x:v>
      </x:c>
      <x:c r="D35" s="3"/>
      <x:c r="E35" s="103" t="str">
        <x:v>Cost savings estimate only; no management guidance or revenue synergies.</x:v>
      </x:c>
      <x:c r="F35" s="103"/>
      <x:c r="G35" s="103"/>
      <x:c r="H35" s="103"/>
      <x:c r="I35" s="2"/>
      <x:c r="J35" s="2"/>
    </x:row>
    <x:row r="36" ht="44" customHeight="1">
      <x:c r="A36" s="2"/>
      <x:c r="B36" s="51" t="str">
        <x:v>Incremental acquired intangible value</x:v>
      </x:c>
      <x:c r="C36" s="106" t="n">
        <x:v>5000</x:v>
      </x:c>
      <x:c r="D36" s="3"/>
      <x:c r="E36" s="103" t="str">
        <x:v>Illustrative fair-value uplift only; NOT a final purchase-price allocation or goodwill calculation.</x:v>
      </x:c>
      <x:c r="F36" s="103"/>
      <x:c r="G36" s="103"/>
      <x:c r="H36" s="103"/>
      <x:c r="I36" s="2"/>
      <x:c r="J36" s="2"/>
    </x:row>
    <x:row r="37" ht="44" customHeight="1">
      <x:c r="A37" s="2"/>
      <x:c r="B37" s="51" t="str">
        <x:v>Intangible useful life (years)</x:v>
      </x:c>
      <x:c r="C37" s="106" t="n">
        <x:v>15</x:v>
      </x:c>
      <x:c r="D37" s="3"/>
      <x:c r="E37" s="103" t="str">
        <x:v>Straight-line incremental amortisation.</x:v>
      </x:c>
      <x:c r="F37" s="103"/>
      <x:c r="G37" s="103"/>
      <x:c r="H37" s="103"/>
      <x:c r="I37" s="2"/>
      <x:c r="J37" s="2"/>
    </x:row>
    <x:row r="38" ht="44" customHeight="1">
      <x:c r="A38" s="2"/>
      <x:c r="B38" s="51" t="str">
        <x:v>Tax shield rate on incremental amortisation</x:v>
      </x:c>
      <x:c r="C38" s="107" t="n">
        <x:v>0</x:v>
      </x:c>
      <x:c r="D38" s="3"/>
      <x:c r="E38" s="103" t="str">
        <x:v>No amortisation tax shield assumed; deductibility unverified.</x:v>
      </x:c>
      <x:c r="F38" s="103"/>
      <x:c r="G38" s="103"/>
      <x:c r="H38" s="103"/>
      <x:c r="I38" s="2"/>
      <x:c r="J38" s="2"/>
    </x:row>
    <x:row r="39" ht="44" customHeight="1">
      <x:c r="A39" s="2"/>
      <x:c r="B39" s="51" t="str">
        <x:v>Dividend payout / positive pro forma PAT</x:v>
      </x:c>
      <x:c r="C39" s="107" t="n">
        <x:v>0.4</x:v>
      </x:c>
      <x:c r="D39" s="3"/>
      <x:c r="E39" s="103" t="str">
        <x:v>Illustrative distribution before the acquisition-debt cash sweep.</x:v>
      </x:c>
      <x:c r="F39" s="103"/>
      <x:c r="G39" s="103"/>
      <x:c r="H39" s="103"/>
      <x:c r="I39" s="2"/>
      <x:c r="J39" s="2"/>
    </x:row>
    <x:row r="40" ht="44" customHeight="1">
      <x:c r="A40" s="2"/>
      <x:c r="B40" s="51" t="str">
        <x:v>Acquisition-debt cash sweep</x:v>
      </x:c>
      <x:c r="C40" s="107" t="n">
        <x:v>0.9</x:v>
      </x:c>
      <x:c r="D40" s="3"/>
      <x:c r="E40" s="103" t="str">
        <x:v>90% of positive cash after dividends and lease allowance; no mandatory repayment schedule.</x:v>
      </x:c>
      <x:c r="F40" s="103"/>
      <x:c r="G40" s="103"/>
      <x:c r="H40" s="103"/>
      <x:c r="I40" s="2"/>
      <x:c r="J40" s="2"/>
    </x:row>
    <x:row r="41" ht="44" customHeight="1">
      <x:c r="A41" s="2"/>
      <x:c r="B41" s="51" t="str">
        <x:v>Annual lease cash allowance</x:v>
      </x:c>
      <x:c r="C41" s="106" t="n">
        <x:v>40.34</x:v>
      </x:c>
      <x:c r="D41" s="3"/>
      <x:c r="E41" s="103" t="str">
        <x:v>Rounded FY25 lease cash outflows: Torrent 27.24 + JB 13.10, including lease interest. No lease asset roll-forward.</x:v>
      </x:c>
      <x:c r="F41" s="103"/>
      <x:c r="G41" s="103"/>
      <x:c r="H41" s="103"/>
      <x:c r="I41" s="2"/>
      <x:c r="J41" s="2"/>
    </x:row>
    <x:row r="42" ht="24" customHeight="1">
      <x:c r="A42" s="2"/>
      <x:c r="B42" s="2"/>
      <x:c r="C42" s="3"/>
      <x:c r="D42" s="3"/>
      <x:c r="E42" s="3"/>
      <x:c r="F42" s="3"/>
      <x:c r="G42" s="3"/>
      <x:c r="H42" s="3"/>
      <x:c r="I42" s="2"/>
      <x:c r="J42" s="2"/>
    </x:row>
    <x:row r="43" ht="27" customHeight="1">
      <x:c r="A43" s="2"/>
      <x:c r="B43" s="90" t="str">
        <x:v>ANNUAL INTEGRATION ASSUMPTIONS</x:v>
      </x:c>
      <x:c r="C43" s="102"/>
      <x:c r="D43" s="102"/>
      <x:c r="E43" s="102"/>
      <x:c r="F43" s="102"/>
      <x:c r="G43" s="102"/>
      <x:c r="H43" s="102"/>
      <x:c r="I43" s="2"/>
      <x:c r="J43" s="2"/>
    </x:row>
    <x:row r="44" ht="24" customHeight="1">
      <x:c r="A44" s="2"/>
      <x:c r="B44" s="2"/>
      <x:c r="C44" s="3"/>
      <x:c r="D44" s="3" t="str">
        <x:v>FY26E</x:v>
      </x:c>
      <x:c r="E44" s="3" t="str">
        <x:v>FY27E</x:v>
      </x:c>
      <x:c r="F44" s="3" t="str">
        <x:v>FY28E</x:v>
      </x:c>
      <x:c r="G44" s="3" t="str">
        <x:v>FY29E</x:v>
      </x:c>
      <x:c r="H44" s="3" t="str">
        <x:v>FY30E</x:v>
      </x:c>
      <x:c r="I44" s="2"/>
      <x:c r="J44" s="2"/>
    </x:row>
    <x:row r="45" ht="24" customHeight="1">
      <x:c r="A45" s="2"/>
      <x:c r="B45" s="2" t="str">
        <x:v>Synergy ramp</x:v>
      </x:c>
      <x:c r="C45" s="3"/>
      <x:c r="D45" s="91" t="n">
        <x:v>0.2</x:v>
      </x:c>
      <x:c r="E45" s="91" t="n">
        <x:v>0.5</x:v>
      </x:c>
      <x:c r="F45" s="91" t="n">
        <x:v>0.8</x:v>
      </x:c>
      <x:c r="G45" s="91" t="n">
        <x:v>1</x:v>
      </x:c>
      <x:c r="H45" s="91" t="n">
        <x:v>1</x:v>
      </x:c>
      <x:c r="I45" s="2"/>
      <x:c r="J45" s="2"/>
    </x:row>
    <x:row r="46" ht="24" customHeight="1">
      <x:c r="A46" s="2"/>
      <x:c r="B46" s="2" t="str">
        <x:v>Integration expense / cash cost</x:v>
      </x:c>
      <x:c r="C46" s="3"/>
      <x:c r="D46" s="45" t="n">
        <x:v>150</x:v>
      </x:c>
      <x:c r="E46" s="45" t="n">
        <x:v>100</x:v>
      </x:c>
      <x:c r="F46" s="45" t="n">
        <x:v>0</x:v>
      </x:c>
      <x:c r="G46" s="45" t="n">
        <x:v>0</x:v>
      </x:c>
      <x:c r="H46" s="45" t="n">
        <x:v>0</x:v>
      </x:c>
      <x:c r="I46" s="2"/>
      <x:c r="J46" s="2"/>
    </x:row>
    <x:row r="47" ht="24" customHeight="1">
      <x:c r="A47" s="2"/>
      <x:c r="B47" s="2"/>
      <x:c r="C47" s="3"/>
      <x:c r="D47" s="3"/>
      <x:c r="E47" s="3"/>
      <x:c r="F47" s="3"/>
      <x:c r="G47" s="3"/>
      <x:c r="H47" s="3"/>
      <x:c r="I47" s="2"/>
      <x:c r="J47" s="2"/>
    </x:row>
    <x:row r="48" ht="27" customHeight="1">
      <x:c r="A48" s="2"/>
      <x:c r="B48" s="90" t="str">
        <x:v>SOURCE REGISTER AND BASIS</x:v>
      </x:c>
      <x:c r="C48" s="102"/>
      <x:c r="D48" s="102"/>
      <x:c r="E48" s="102"/>
      <x:c r="F48" s="102"/>
      <x:c r="G48" s="102"/>
      <x:c r="H48" s="102"/>
      <x:c r="I48" s="2"/>
      <x:c r="J48" s="2"/>
    </x:row>
    <x:row r="49" ht="43" customHeight="1">
      <x:c r="A49" s="2"/>
      <x:c r="B49" s="86" t="str">
        <x:v>[1] Torrent exchange disclosure, 29 June 2025: acquisition terms, merger ratio and cancellation of Torrent-held JB shares.</x:v>
      </x:c>
      <x:c r="C49" s="103"/>
      <x:c r="D49" s="103"/>
      <x:c r="E49" s="103"/>
      <x:c r="F49" s="103"/>
      <x:c r="G49" s="103"/>
      <x:c r="H49" s="103"/>
      <x:c r="I49" s="2"/>
      <x:c r="J49" s="2"/>
    </x:row>
    <x:row r="50" ht="43" customHeight="1">
      <x:c r="A50" s="2"/>
      <x:c r="B50" s="86" t="str">
        <x:v>https://www.torrentpharma.com/assets/SE_Intimation_29_06_2025_7788ae250e.pdf</x:v>
      </x:c>
      <x:c r="C50" s="103"/>
      <x:c r="D50" s="103"/>
      <x:c r="E50" s="103"/>
      <x:c r="F50" s="103"/>
      <x:c r="G50" s="103"/>
      <x:c r="H50" s="103"/>
      <x:c r="I50" s="2"/>
      <x:c r="J50" s="2"/>
    </x:row>
    <x:row r="51" ht="43" customHeight="1">
      <x:c r="A51" s="2"/>
      <x:c r="B51" s="86" t="str">
        <x:v>[2] SEBI public announcement, 29 June 2025: open offer, expanded capital definition and ESOP count.</x:v>
      </x:c>
      <x:c r="C51" s="103"/>
      <x:c r="D51" s="103"/>
      <x:c r="E51" s="103"/>
      <x:c r="F51" s="103"/>
      <x:c r="G51" s="103"/>
      <x:c r="H51" s="103"/>
      <x:c r="I51" s="2"/>
      <x:c r="J51" s="2"/>
    </x:row>
    <x:row r="52" ht="43" customHeight="1">
      <x:c r="A52" s="2"/>
      <x:c r="B52" s="86" t="str">
        <x:v>https://www.sebi.gov.in/sebi_data/commondocs/jul-2025/J.B.%20Chemicals%20%26%20Pharmaceuticals%20Limited_PA_p.pdf</x:v>
      </x:c>
      <x:c r="C52" s="103"/>
      <x:c r="D52" s="103"/>
      <x:c r="E52" s="103"/>
      <x:c r="F52" s="103"/>
      <x:c r="G52" s="103"/>
      <x:c r="H52" s="103"/>
      <x:c r="I52" s="2"/>
      <x:c r="J52" s="2"/>
    </x:row>
    <x:row r="53" ht="43" customHeight="1">
      <x:c r="A53" s="2"/>
      <x:c r="B53" s="86" t="str">
        <x:v>[3] Detailed public statement, 4 July 2025, §4.7: issued shares + ESOPs reconcile to 160,558,706 expanded shares. Used only to reconcile announcement capital.</x:v>
      </x:c>
      <x:c r="C53" s="103"/>
      <x:c r="D53" s="103"/>
      <x:c r="E53" s="103"/>
      <x:c r="F53" s="103"/>
      <x:c r="G53" s="103"/>
      <x:c r="H53" s="103"/>
      <x:c r="I53" s="2"/>
      <x:c r="J53" s="2"/>
    </x:row>
    <x:row r="54" ht="43" customHeight="1">
      <x:c r="A54" s="2"/>
      <x:c r="B54" s="86" t="str">
        <x:v>https://nsearchives.nseindia.com/corporate/JBCHEPHARM_04072025174702_NSE_DPS_Advt.pdf</x:v>
      </x:c>
      <x:c r="C54" s="103"/>
      <x:c r="D54" s="103"/>
      <x:c r="E54" s="103"/>
      <x:c r="F54" s="103"/>
      <x:c r="G54" s="103"/>
      <x:c r="H54" s="103"/>
      <x:c r="I54" s="2"/>
      <x:c r="J54" s="2"/>
    </x:row>
    <x:row r="55" ht="43" customHeight="1">
      <x:c r="A55" s="2"/>
      <x:c r="B55" s="86" t="str">
        <x:v>[4] Torrent FY25 annual report: consolidated BS p298; P&amp;L p299; CF p302; shares p343. Historical links remain in the original input tabs.</x:v>
      </x:c>
      <x:c r="C55" s="103"/>
      <x:c r="D55" s="103"/>
      <x:c r="E55" s="103"/>
      <x:c r="F55" s="103"/>
      <x:c r="G55" s="103"/>
      <x:c r="H55" s="103"/>
      <x:c r="I55" s="2"/>
      <x:c r="J55" s="2"/>
    </x:row>
    <x:row r="56" ht="43" customHeight="1">
      <x:c r="A56" s="2"/>
      <x:c r="B56" s="86" t="str">
        <x:v>https://www.torrentpharma.com/pdf/investors/AR-2024-25_Single_page_view.pdf</x:v>
      </x:c>
      <x:c r="C56" s="103"/>
      <x:c r="D56" s="103"/>
      <x:c r="E56" s="103"/>
      <x:c r="F56" s="103"/>
      <x:c r="G56" s="103"/>
      <x:c r="H56" s="103"/>
      <x:c r="I56" s="2"/>
      <x:c r="J56" s="2"/>
    </x:row>
    <x:row r="57" ht="43" customHeight="1">
      <x:c r="A57" s="2"/>
      <x:c r="B57" s="86" t="str">
        <x:v>[5] JB FY25 annual report: consolidated BS / P&amp;L / CF and debt notes; source pages in JB inputs. No FY26 actuals used.</x:v>
      </x:c>
      <x:c r="C57" s="103"/>
      <x:c r="D57" s="103"/>
      <x:c r="E57" s="103"/>
      <x:c r="F57" s="103"/>
      <x:c r="G57" s="103"/>
      <x:c r="H57" s="103"/>
      <x:c r="I57" s="2"/>
      <x:c r="J57" s="2"/>
    </x:row>
    <x:row r="58" ht="43" customHeight="1">
      <x:c r="A58" s="2"/>
      <x:c r="B58" s="86" t="str">
        <x:v>https://jbpharma.com/download/fy25-annual-report/?wpdmdl=10520</x:v>
      </x:c>
      <x:c r="C58" s="103"/>
      <x:c r="D58" s="103"/>
      <x:c r="E58" s="103"/>
      <x:c r="F58" s="103"/>
      <x:c r="G58" s="103"/>
      <x:c r="H58" s="103"/>
      <x:c r="I58" s="2"/>
      <x:c r="J58" s="2"/>
    </x:row>
    <x:row r="59" ht="59" customHeight="1">
      <x:c r="A59" s="2"/>
      <x:c r="B59" s="86" t="str">
        <x:v>Timing: FY26E–FY30E show five full pro forma years on the Step 3 operating forecast. Both transactions are assumed complete at the start of FY26 solely for comparability; these are not expected statutory reported EPS.</x:v>
      </x:c>
      <x:c r="C59" s="103"/>
      <x:c r="D59" s="103"/>
      <x:c r="E59" s="103"/>
      <x:c r="F59" s="103"/>
      <x:c r="G59" s="103"/>
      <x:c r="H59" s="103"/>
      <x:c r="I59" s="2"/>
      <x:c r="J59" s="2"/>
    </x:row>
    <x:row r="60" ht="59" customHeight="1">
      <x:c r="A60" s="2"/>
      <x:c r="B60" s="86" t="str">
        <x:v>Scope: all expanded shares assumed issued by merger, with no ESOP exercise proceeds or fractional-share cash settlement. Financing terms, fees, synergies and PPA uplift above are analytical estimates.</x:v>
      </x:c>
      <x:c r="C60" s="103"/>
      <x:c r="D60" s="103"/>
      <x:c r="E60" s="103"/>
      <x:c r="F60" s="103"/>
      <x:c r="G60" s="103"/>
      <x:c r="H60" s="103"/>
      <x:c r="I60" s="2"/>
      <x:c r="J60" s="2"/>
    </x:row>
    <x:row r="61" ht="59" customHeight="1">
      <x:c r="A61" s="2"/>
      <x:c r="B61" s="86" t="str">
        <x:v>Cash model retains all legacy borrowings, subtracts a lease cash allowance, and tracks only acquisition debt repayments. Other working-capital balances, covenant terms, refinancing and a full opening balance sheet remain outside scope.</x:v>
      </x:c>
      <x:c r="C61" s="103"/>
      <x:c r="D61" s="103"/>
      <x:c r="E61" s="103"/>
      <x:c r="F61" s="103"/>
      <x:c r="G61" s="103"/>
      <x:c r="H61" s="10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row r="91" ht="24" customHeight="1">
      <x:c r="A91" s="2"/>
      <x:c r="B91" s="2"/>
      <x:c r="C91" s="3"/>
      <x:c r="D91" s="3"/>
      <x:c r="E91" s="3"/>
      <x:c r="F91" s="3"/>
      <x:c r="G91" s="3"/>
      <x:c r="H91" s="3"/>
      <x:c r="I91" s="2"/>
      <x:c r="J91" s="2"/>
    </x:row>
  </x:sheetData>
  <x:mergeCells>
    <x:mergeCell ref="B2:H2"/>
    <x:mergeCell ref="B3:H3"/>
    <x:mergeCell ref="B6:H6"/>
    <x:mergeCell ref="B12:H12"/>
    <x:mergeCell ref="E13:H13"/>
    <x:mergeCell ref="E14:H14"/>
    <x:mergeCell ref="E15:H15"/>
    <x:mergeCell ref="E16:H16"/>
    <x:mergeCell ref="E17:H17"/>
    <x:mergeCell ref="E18:H18"/>
    <x:mergeCell ref="E19:H19"/>
    <x:mergeCell ref="E20:H20"/>
    <x:mergeCell ref="E21:H21"/>
    <x:mergeCell ref="E22:H22"/>
    <x:mergeCell ref="B24:H24"/>
    <x:mergeCell ref="E25:H25"/>
    <x:mergeCell ref="E26:H26"/>
    <x:mergeCell ref="E27:H27"/>
    <x:mergeCell ref="E28:H28"/>
    <x:mergeCell ref="E29:H29"/>
    <x:mergeCell ref="E30:H30"/>
    <x:mergeCell ref="E31:H31"/>
    <x:mergeCell ref="E32:H32"/>
    <x:mergeCell ref="E33:H33"/>
    <x:mergeCell ref="E34:H34"/>
    <x:mergeCell ref="E35:H35"/>
    <x:mergeCell ref="E36:H36"/>
    <x:mergeCell ref="E37:H37"/>
    <x:mergeCell ref="E38:H38"/>
    <x:mergeCell ref="E39:H39"/>
    <x:mergeCell ref="E40:H40"/>
    <x:mergeCell ref="E41:H41"/>
    <x:mergeCell ref="B43:H43"/>
    <x:mergeCell ref="B48:H48"/>
    <x:mergeCell ref="B49:H49"/>
    <x:mergeCell ref="B50:H50"/>
    <x:mergeCell ref="B51:H51"/>
    <x:mergeCell ref="B52:H52"/>
    <x:mergeCell ref="B53:H53"/>
    <x:mergeCell ref="B54:H54"/>
    <x:mergeCell ref="B55:H55"/>
    <x:mergeCell ref="B56:H56"/>
    <x:mergeCell ref="B57:H57"/>
    <x:mergeCell ref="B58:H58"/>
    <x:mergeCell ref="B59:H59"/>
    <x:mergeCell ref="B60:H60"/>
    <x:mergeCell ref="B61:H61"/>
  </x:mergeCells>
  <x:dataValidations count="1">
    <x:dataValidation type="whole" operator="between" sqref="C4">
      <x:formula1>1</x:formula1>
      <x:formula2>3</x:formula2>
    </x:dataValidation>
  </x:dataValidations>
  <x:pageMargins left="0.7" right="0.7" top="0.75" bottom="0.75" header="0.3" footer="0.3"/>
</x:worksheet>
</file>

<file path=xl/worksheets/sheet13.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Purchase consideration and funding</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24" customHeight="1">
      <x:c r="A5" s="2"/>
      <x:c r="B5" s="2"/>
      <x:c r="C5" s="2" t="str">
        <x:v>Selected case</x:v>
      </x:c>
      <x:c r="D5" s="2"/>
      <x:c r="E5" s="2"/>
      <x:c r="F5" s="2"/>
      <x:c r="G5" s="2"/>
      <x:c r="H5" s="2"/>
      <x:c r="I5" s="2"/>
      <x:c r="J5" s="2"/>
    </x:row>
    <x:row r="6" ht="27" customHeight="1">
      <x:c r="A6" s="2"/>
      <x:c r="B6" s="90" t="str">
        <x:v>EXPANDED CAPITAL</x:v>
      </x:c>
      <x:c r="C6" s="90"/>
      <x:c r="D6" s="90"/>
      <x:c r="E6" s="90"/>
      <x:c r="F6" s="90"/>
      <x:c r="G6" s="90"/>
      <x:c r="H6" s="90"/>
      <x:c r="I6" s="2"/>
      <x:c r="J6" s="2"/>
    </x:row>
    <x:row r="7" ht="24" customHeight="1">
      <x:c r="A7" s="2"/>
      <x:c r="B7" s="2" t="str">
        <x:v>JB issued shares (crore)</x:v>
      </x:c>
      <x:c r="C7" s="108" t="n">
        <x:f>'Deal inputs'!$C$13/'Deal inputs'!$C$22</x:f>
        <x:v>15.6058924</x:v>
      </x:c>
      <x:c r="D7" s="3"/>
      <x:c r="E7" s="3"/>
      <x:c r="F7" s="3"/>
      <x:c r="G7" s="3"/>
      <x:c r="H7" s="3"/>
      <x:c r="I7" s="2"/>
      <x:c r="J7" s="2"/>
    </x:row>
    <x:row r="8" ht="24" customHeight="1">
      <x:c r="A8" s="2"/>
      <x:c r="B8" s="2" t="str">
        <x:v>ESOP shares included (crore)</x:v>
      </x:c>
      <x:c r="C8" s="108" t="n">
        <x:f>'Deal inputs'!$C$14/'Deal inputs'!$C$22</x:f>
        <x:v>0.4499782</x:v>
      </x:c>
      <x:c r="D8" s="3"/>
      <x:c r="E8" s="3"/>
      <x:c r="F8" s="3"/>
      <x:c r="G8" s="3"/>
      <x:c r="H8" s="3"/>
      <x:c r="I8" s="2"/>
      <x:c r="J8" s="2"/>
    </x:row>
    <x:row r="9" ht="24" customHeight="1">
      <x:c r="A9" s="2"/>
      <x:c r="B9" s="98" t="str">
        <x:v>Expanded JB shares (crore)</x:v>
      </x:c>
      <x:c r="C9" s="115" t="n">
        <x:f>C7+C8</x:f>
        <x:v>16.0558706</x:v>
      </x:c>
      <x:c r="D9" s="100"/>
      <x:c r="E9" s="100"/>
      <x:c r="F9" s="100"/>
      <x:c r="G9" s="100"/>
      <x:c r="H9" s="100"/>
      <x:c r="I9" s="2"/>
      <x:c r="J9" s="2"/>
    </x:row>
    <x:row r="10" ht="27" customHeight="1">
      <x:c r="A10" s="2"/>
      <x:c r="B10" s="90" t="str">
        <x:v>CASH ACQUISITION</x:v>
      </x:c>
      <x:c r="C10" s="110"/>
      <x:c r="D10" s="102"/>
      <x:c r="E10" s="102"/>
      <x:c r="F10" s="102"/>
      <x:c r="G10" s="102"/>
      <x:c r="H10" s="102"/>
      <x:c r="I10" s="2"/>
      <x:c r="J10" s="2"/>
    </x:row>
    <x:row r="11" ht="24" customHeight="1">
      <x:c r="A11" s="2"/>
      <x:c r="B11" s="2" t="str">
        <x:v>KKR shares bought (crore)</x:v>
      </x:c>
      <x:c r="C11" s="108" t="n">
        <x:f>'Deal inputs'!$C$15/'Deal inputs'!$C$22</x:f>
        <x:v>7.4481519</x:v>
      </x:c>
      <x:c r="D11" s="3"/>
      <x:c r="E11" s="3"/>
      <x:c r="F11" s="3"/>
      <x:c r="G11" s="3"/>
      <x:c r="H11" s="3"/>
      <x:c r="I11" s="2"/>
      <x:c r="J11" s="2"/>
    </x:row>
    <x:row r="12" ht="24" customHeight="1">
      <x:c r="A12" s="2"/>
      <x:c r="B12" s="2" t="str">
        <x:v>Employee shares bought (crore)</x:v>
      </x:c>
      <x:c r="C12" s="108" t="n">
        <x:f>'Deal inputs'!$C$17*'Deal inputs'!$C$25/'Deal inputs'!$C$22</x:f>
        <x:v>0.4499782</x:v>
      </x:c>
      <x:c r="D12" s="3"/>
      <x:c r="E12" s="3"/>
      <x:c r="F12" s="3"/>
      <x:c r="G12" s="3"/>
      <x:c r="H12" s="3"/>
      <x:c r="I12" s="2"/>
      <x:c r="J12" s="2"/>
    </x:row>
    <x:row r="13" ht="24" customHeight="1">
      <x:c r="A13" s="2"/>
      <x:c r="B13" s="2" t="str">
        <x:v>Open-offer take-up / capacity</x:v>
      </x:c>
      <x:c r="C13" s="76" t="n">
        <x:f>'Deal inputs'!$C$7</x:f>
        <x:v>0.5</x:v>
      </x:c>
      <x:c r="D13" s="3"/>
      <x:c r="E13" s="3"/>
      <x:c r="F13" s="3"/>
      <x:c r="G13" s="3"/>
      <x:c r="H13" s="3"/>
      <x:c r="I13" s="2"/>
      <x:c r="J13" s="2"/>
    </x:row>
    <x:row r="14" ht="24" customHeight="1">
      <x:c r="A14" s="2"/>
      <x:c r="B14" s="2" t="str">
        <x:v>Open-offer shares bought (crore)</x:v>
      </x:c>
      <x:c r="C14" s="108" t="n">
        <x:f>'Deal inputs'!$C$19*C13/'Deal inputs'!$C$22</x:f>
        <x:v>2.0872632</x:v>
      </x:c>
      <x:c r="D14" s="3"/>
      <x:c r="E14" s="3"/>
      <x:c r="F14" s="3"/>
      <x:c r="G14" s="3"/>
      <x:c r="H14" s="3"/>
      <x:c r="I14" s="2"/>
      <x:c r="J14" s="2"/>
    </x:row>
    <x:row r="15" ht="24" customHeight="1">
      <x:c r="A15" s="2"/>
      <x:c r="B15" s="98" t="str">
        <x:v>Total JB shares bought for cash</x:v>
      </x:c>
      <x:c r="C15" s="115" t="n">
        <x:f>SUM(C11:C12)+C14</x:f>
        <x:v>9.9853933</x:v>
      </x:c>
      <x:c r="D15" s="100"/>
      <x:c r="E15" s="100"/>
      <x:c r="F15" s="100"/>
      <x:c r="G15" s="100"/>
      <x:c r="H15" s="100"/>
      <x:c r="I15" s="2"/>
      <x:c r="J15" s="2"/>
    </x:row>
    <x:row r="16" ht="24" customHeight="1">
      <x:c r="A16" s="2"/>
      <x:c r="B16" s="2" t="str">
        <x:v>Cash ownership / expanded JB shares</x:v>
      </x:c>
      <x:c r="C16" s="29" t="n">
        <x:f>C15/C9</x:f>
        <x:v>0.6219154070661232</x:v>
      </x:c>
      <x:c r="D16" s="3"/>
      <x:c r="E16" s="3"/>
      <x:c r="F16" s="3"/>
      <x:c r="G16" s="3"/>
      <x:c r="H16" s="3"/>
      <x:c r="I16" s="2"/>
      <x:c r="J16" s="2"/>
    </x:row>
    <x:row r="17" ht="27" customHeight="1">
      <x:c r="A17" s="2"/>
      <x:c r="B17" s="90" t="str">
        <x:v>MERGER SHARE ISSUANCE</x:v>
      </x:c>
      <x:c r="C17" s="110"/>
      <x:c r="D17" s="102"/>
      <x:c r="E17" s="102"/>
      <x:c r="F17" s="102"/>
      <x:c r="G17" s="102"/>
      <x:c r="H17" s="102"/>
      <x:c r="I17" s="2"/>
      <x:c r="J17" s="2"/>
    </x:row>
    <x:row r="18" ht="24" customHeight="1">
      <x:c r="A18" s="2"/>
      <x:c r="B18" s="2" t="str">
        <x:v>Remaining JB shares exchanged</x:v>
      </x:c>
      <x:c r="C18" s="109" t="n">
        <x:f>C9-C15</x:f>
        <x:v>6.0704772999999985</x:v>
      </x:c>
      <x:c r="D18" s="3"/>
      <x:c r="E18" s="3"/>
      <x:c r="F18" s="3"/>
      <x:c r="G18" s="3"/>
      <x:c r="H18" s="3"/>
      <x:c r="I18" s="2"/>
      <x:c r="J18" s="2"/>
    </x:row>
    <x:row r="19" ht="24" customHeight="1">
      <x:c r="A19" s="2"/>
      <x:c r="B19" s="2" t="str">
        <x:v>Torrent shares per JB share</x:v>
      </x:c>
      <x:c r="C19" s="111" t="n">
        <x:f>'Deal inputs'!$C$21</x:f>
        <x:v>0.51</x:v>
      </x:c>
      <x:c r="D19" s="3"/>
      <x:c r="E19" s="3"/>
      <x:c r="F19" s="3"/>
      <x:c r="G19" s="3"/>
      <x:c r="H19" s="3"/>
      <x:c r="I19" s="2"/>
      <x:c r="J19" s="2"/>
    </x:row>
    <x:row r="20" ht="24" customHeight="1">
      <x:c r="A20" s="2"/>
      <x:c r="B20" s="98" t="str">
        <x:v>New Torrent merger shares</x:v>
      </x:c>
      <x:c r="C20" s="115" t="n">
        <x:f>C18*C19</x:f>
        <x:v>3.095943422999999</x:v>
      </x:c>
      <x:c r="D20" s="100"/>
      <x:c r="E20" s="100"/>
      <x:c r="F20" s="100"/>
      <x:c r="G20" s="100"/>
      <x:c r="H20" s="100"/>
      <x:c r="I20" s="2"/>
      <x:c r="J20" s="2"/>
    </x:row>
    <x:row r="21" ht="24" customHeight="1">
      <x:c r="A21" s="2"/>
      <x:c r="B21" s="2" t="str">
        <x:v>Existing Torrent shares</x:v>
      </x:c>
      <x:c r="C21" s="108" t="n">
        <x:f>'Torrent history'!G75</x:f>
        <x:v>33.844544</x:v>
      </x:c>
      <x:c r="D21" s="3"/>
      <x:c r="E21" s="3"/>
      <x:c r="F21" s="3"/>
      <x:c r="G21" s="3"/>
      <x:c r="H21" s="3"/>
      <x:c r="I21" s="2"/>
      <x:c r="J21" s="2"/>
    </x:row>
    <x:row r="22" ht="24" customHeight="1">
      <x:c r="A22" s="2"/>
      <x:c r="B22" s="98" t="str">
        <x:v>Total pro forma Torrent shares</x:v>
      </x:c>
      <x:c r="C22" s="115" t="n">
        <x:f>C20+C21</x:f>
        <x:v>36.940487423</x:v>
      </x:c>
      <x:c r="D22" s="100"/>
      <x:c r="E22" s="100"/>
      <x:c r="F22" s="100"/>
      <x:c r="G22" s="100"/>
      <x:c r="H22" s="100"/>
      <x:c r="I22" s="2"/>
      <x:c r="J22" s="2"/>
    </x:row>
    <x:row r="23" ht="24" customHeight="1">
      <x:c r="A23" s="2"/>
      <x:c r="B23" s="2" t="str">
        <x:v>New shares / pro forma shares</x:v>
      </x:c>
      <x:c r="C23" s="29" t="n">
        <x:f>C20/C22</x:f>
        <x:v>0.08380894890608274</x:v>
      </x:c>
      <x:c r="D23" s="3"/>
      <x:c r="E23" s="3"/>
      <x:c r="F23" s="3"/>
      <x:c r="G23" s="3"/>
      <x:c r="H23" s="3"/>
      <x:c r="I23" s="2"/>
      <x:c r="J23" s="2"/>
    </x:row>
    <x:row r="24" ht="24" customHeight="1">
      <x:c r="A24" s="2"/>
      <x:c r="B24" s="2"/>
      <x:c r="C24" s="3"/>
      <x:c r="D24" s="3"/>
      <x:c r="E24" s="3"/>
      <x:c r="F24" s="3"/>
      <x:c r="G24" s="3"/>
      <x:c r="H24" s="3"/>
      <x:c r="I24" s="2"/>
      <x:c r="J24" s="2"/>
    </x:row>
    <x:row r="25" ht="27" customHeight="1">
      <x:c r="A25" s="2"/>
      <x:c r="B25" s="90" t="str">
        <x:v>CASH USES</x:v>
      </x:c>
      <x:c r="C25" s="102"/>
      <x:c r="D25" s="102"/>
      <x:c r="E25" s="102"/>
      <x:c r="F25" s="102"/>
      <x:c r="G25" s="102"/>
      <x:c r="H25" s="102"/>
      <x:c r="I25" s="2"/>
      <x:c r="J25" s="2"/>
    </x:row>
    <x:row r="26" ht="43" customHeight="1">
      <x:c r="A26" s="2"/>
      <x:c r="B26" s="2" t="str">
        <x:v>KKR cash consideration</x:v>
      </x:c>
      <x:c r="C26" s="28" t="n">
        <x:f>C11*'Deal inputs'!$C$16</x:f>
        <x:v>11917.04304</x:v>
      </x:c>
      <x:c r="D26" s="3"/>
      <x:c r="E26" s="103" t="str">
        <x:v>Cash buys only the relevant share blocks; headline valuation is not a cash funding requirement.</x:v>
      </x:c>
      <x:c r="F26" s="103"/>
      <x:c r="G26" s="103"/>
      <x:c r="H26" s="103"/>
      <x:c r="I26" s="2"/>
      <x:c r="J26" s="2"/>
    </x:row>
    <x:row r="27" ht="24" customHeight="1">
      <x:c r="A27" s="2"/>
      <x:c r="B27" s="2" t="str">
        <x:v>Employee cash consideration</x:v>
      </x:c>
      <x:c r="C27" s="28" t="n">
        <x:f>C12*'Deal inputs'!$C$18</x:f>
        <x:v>719.96512</x:v>
      </x:c>
      <x:c r="D27" s="3"/>
      <x:c r="E27" s="3"/>
      <x:c r="F27" s="3"/>
      <x:c r="G27" s="3"/>
      <x:c r="H27" s="3"/>
      <x:c r="I27" s="2"/>
      <x:c r="J27" s="2"/>
    </x:row>
    <x:row r="28" ht="24" customHeight="1">
      <x:c r="A28" s="2"/>
      <x:c r="B28" s="2" t="str">
        <x:v>Open-offer cash consideration</x:v>
      </x:c>
      <x:c r="C28" s="28" t="n">
        <x:f>C14*'Deal inputs'!$C$20</x:f>
        <x:v>3421.4000921760003</x:v>
      </x:c>
      <x:c r="D28" s="3"/>
      <x:c r="E28" s="3"/>
      <x:c r="F28" s="3"/>
      <x:c r="G28" s="3"/>
      <x:c r="H28" s="3"/>
      <x:c r="I28" s="2"/>
      <x:c r="J28" s="2"/>
    </x:row>
    <x:row r="29" ht="24" customHeight="1">
      <x:c r="A29" s="2"/>
      <x:c r="B29" s="98" t="str">
        <x:v>Total cash purchase consideration</x:v>
      </x:c>
      <x:c r="C29" s="100" t="n">
        <x:f>SUM(C26:C28)</x:f>
        <x:v>16058.408252176001</x:v>
      </x:c>
      <x:c r="D29" s="100"/>
      <x:c r="E29" s="100"/>
      <x:c r="F29" s="100"/>
      <x:c r="G29" s="100"/>
      <x:c r="H29" s="100"/>
      <x:c r="I29" s="2"/>
      <x:c r="J29" s="2"/>
    </x:row>
    <x:row r="30" ht="43" customHeight="1">
      <x:c r="A30" s="2"/>
      <x:c r="B30" s="2" t="str">
        <x:v>Transaction fees</x:v>
      </x:c>
      <x:c r="C30" s="28" t="n">
        <x:f>C29*'Deal inputs'!$C$31</x:f>
        <x:v>80.29204126088001</x:v>
      </x:c>
      <x:c r="D30" s="3"/>
      <x:c r="E30" s="103" t="str">
        <x:v>Transaction fee is a percentage of cash consideration.</x:v>
      </x:c>
      <x:c r="F30" s="103"/>
      <x:c r="G30" s="103"/>
      <x:c r="H30" s="103"/>
      <x:c r="I30" s="2"/>
      <x:c r="J30" s="2"/>
    </x:row>
    <x:row r="31" ht="58" customHeight="1">
      <x:c r="A31" s="2"/>
      <x:c r="B31" s="2" t="str">
        <x:v>Financing fees</x:v>
      </x:c>
      <x:c r="C31" s="28" t="n">
        <x:f>C38*'Deal inputs'!$C$32</x:f>
        <x:v>157.96666963067557</x:v>
      </x:c>
      <x:c r="D31" s="3"/>
      <x:c r="E31" s="103" t="str">
        <x:v>Debt-funded financing fee: debt = (purchase cash + transaction fee − cash used) / (1 − financing fee rate).</x:v>
      </x:c>
      <x:c r="F31" s="103"/>
      <x:c r="G31" s="103"/>
      <x:c r="H31" s="103"/>
      <x:c r="I31" s="2"/>
      <x:c r="J31" s="2"/>
    </x:row>
    <x:row r="32" ht="24" customHeight="1">
      <x:c r="A32" s="2"/>
      <x:c r="B32" s="98" t="str">
        <x:v>Total cash uses</x:v>
      </x:c>
      <x:c r="C32" s="100" t="n">
        <x:f>SUM(C29:C31)</x:f>
        <x:v>16296.666963067557</x:v>
      </x:c>
      <x:c r="D32" s="100"/>
      <x:c r="E32" s="100"/>
      <x:c r="F32" s="100"/>
      <x:c r="G32" s="100"/>
      <x:c r="H32" s="100"/>
      <x:c r="I32" s="2"/>
      <x:c r="J32" s="2"/>
    </x:row>
    <x:row r="33" ht="24" customHeight="1">
      <x:c r="A33" s="2"/>
      <x:c r="B33" s="2"/>
      <x:c r="C33" s="3"/>
      <x:c r="D33" s="3"/>
      <x:c r="E33" s="3"/>
      <x:c r="F33" s="3"/>
      <x:c r="G33" s="3"/>
      <x:c r="H33" s="3"/>
      <x:c r="I33" s="2"/>
      <x:c r="J33" s="2"/>
    </x:row>
    <x:row r="34" ht="27" customHeight="1">
      <x:c r="A34" s="2"/>
      <x:c r="B34" s="90" t="str">
        <x:v>CASH SOURCES</x:v>
      </x:c>
      <x:c r="C34" s="102"/>
      <x:c r="D34" s="102"/>
      <x:c r="E34" s="102"/>
      <x:c r="F34" s="102"/>
      <x:c r="G34" s="102"/>
      <x:c r="H34" s="102"/>
      <x:c r="I34" s="2"/>
      <x:c r="J34" s="2"/>
    </x:row>
    <x:row r="35" ht="24" customHeight="1">
      <x:c r="A35" s="2"/>
      <x:c r="B35" s="2" t="str">
        <x:v>Torrent cash + current investments</x:v>
      </x:c>
      <x:c r="C35" s="28" t="n">
        <x:f>'Torrent history'!G41+'Torrent history'!G42</x:f>
        <x:v>685.69</x:v>
      </x:c>
      <x:c r="D35" s="3"/>
      <x:c r="E35" s="3"/>
      <x:c r="F35" s="3"/>
      <x:c r="G35" s="3"/>
      <x:c r="H35" s="3"/>
      <x:c r="I35" s="2"/>
      <x:c r="J35" s="2"/>
    </x:row>
    <x:row r="36" ht="24" customHeight="1">
      <x:c r="A36" s="2"/>
      <x:c r="B36" s="2" t="str">
        <x:v>Torrent operating reserve</x:v>
      </x:c>
      <x:c r="C36" s="28" t="n">
        <x:f>'Deal inputs'!$C$27</x:f>
        <x:v>150</x:v>
      </x:c>
      <x:c r="D36" s="3"/>
      <x:c r="E36" s="3"/>
      <x:c r="F36" s="3"/>
      <x:c r="G36" s="3"/>
      <x:c r="H36" s="3"/>
      <x:c r="I36" s="2"/>
      <x:c r="J36" s="2"/>
    </x:row>
    <x:row r="37" ht="43" customHeight="1">
      <x:c r="A37" s="2"/>
      <x:c r="B37" s="2" t="str">
        <x:v>Torrent cash used</x:v>
      </x:c>
      <x:c r="C37" s="28" t="n">
        <x:f>MIN('Deal inputs'!$C$26,MAX(C35-C36,0))</x:f>
        <x:v>500</x:v>
      </x:c>
      <x:c r="D37" s="3"/>
      <x:c r="E37" s="103" t="str">
        <x:v>Uses Torrent liquidity; JB cash is not used to finance the seller payment.</x:v>
      </x:c>
      <x:c r="F37" s="103"/>
      <x:c r="G37" s="103"/>
      <x:c r="H37" s="103"/>
      <x:c r="I37" s="2"/>
      <x:c r="J37" s="2"/>
    </x:row>
    <x:row r="38" ht="24" customHeight="1">
      <x:c r="A38" s="2"/>
      <x:c r="B38" s="2" t="str">
        <x:v>New acquisition borrowing</x:v>
      </x:c>
      <x:c r="C38" s="28" t="n">
        <x:f>MAX((C29+C30-C37)/(1-'Deal inputs'!$C$32),0)</x:f>
        <x:v>15796.666963067557</x:v>
      </x:c>
      <x:c r="D38" s="3"/>
      <x:c r="E38" s="3"/>
      <x:c r="F38" s="3"/>
      <x:c r="G38" s="3"/>
      <x:c r="H38" s="3"/>
      <x:c r="I38" s="2"/>
      <x:c r="J38" s="2"/>
    </x:row>
    <x:row r="39" ht="24" customHeight="1">
      <x:c r="A39" s="2"/>
      <x:c r="B39" s="98" t="str">
        <x:v>Total sources</x:v>
      </x:c>
      <x:c r="C39" s="100" t="n">
        <x:f>C37+C38</x:f>
        <x:v>16296.666963067557</x:v>
      </x:c>
      <x:c r="D39" s="100"/>
      <x:c r="E39" s="100"/>
      <x:c r="F39" s="100"/>
      <x:c r="G39" s="100"/>
      <x:c r="H39" s="100"/>
      <x:c r="I39" s="2"/>
      <x:c r="J39" s="2"/>
    </x:row>
    <x:row r="40" ht="24" customHeight="1">
      <x:c r="A40" s="2"/>
      <x:c r="B40" s="2"/>
      <x:c r="C40" s="3"/>
      <x:c r="D40" s="3"/>
      <x:c r="E40" s="3"/>
      <x:c r="F40" s="3"/>
      <x:c r="G40" s="3"/>
      <x:c r="H40" s="3"/>
      <x:c r="I40" s="2"/>
      <x:c r="J40" s="2"/>
    </x:row>
    <x:row r="41" ht="27" customHeight="1">
      <x:c r="A41" s="2"/>
      <x:c r="B41" s="90" t="str">
        <x:v>OPENING CAPITAL STRUCTURE — EXCLUDES LEASES</x:v>
      </x:c>
      <x:c r="C41" s="102"/>
      <x:c r="D41" s="102"/>
      <x:c r="E41" s="102"/>
      <x:c r="F41" s="102"/>
      <x:c r="G41" s="102"/>
      <x:c r="H41" s="102"/>
      <x:c r="I41" s="2"/>
      <x:c r="J41" s="2"/>
    </x:row>
    <x:row r="42" ht="24" customHeight="1">
      <x:c r="A42" s="2"/>
      <x:c r="B42" s="2" t="str">
        <x:v>Legacy Torrent gross borrowings</x:v>
      </x:c>
      <x:c r="C42" s="28" t="n">
        <x:f>'Torrent history'!G43</x:f>
        <x:v>3026.09</x:v>
      </x:c>
      <x:c r="D42" s="3"/>
      <x:c r="E42" s="3"/>
      <x:c r="F42" s="3"/>
      <x:c r="G42" s="3"/>
      <x:c r="H42" s="3"/>
      <x:c r="I42" s="2"/>
      <x:c r="J42" s="2"/>
    </x:row>
    <x:row r="43" ht="24" customHeight="1">
      <x:c r="A43" s="2"/>
      <x:c r="B43" s="2" t="str">
        <x:v>Legacy JB gross borrowings</x:v>
      </x:c>
      <x:c r="C43" s="28" t="n">
        <x:f>'JB history'!G43</x:f>
        <x:v>13.8038</x:v>
      </x:c>
      <x:c r="D43" s="3"/>
      <x:c r="E43" s="3"/>
      <x:c r="F43" s="3"/>
      <x:c r="G43" s="3"/>
      <x:c r="H43" s="3"/>
      <x:c r="I43" s="2"/>
      <x:c r="J43" s="2"/>
    </x:row>
    <x:row r="44" ht="43" customHeight="1">
      <x:c r="A44" s="2"/>
      <x:c r="B44" s="98" t="str">
        <x:v>Pro forma gross borrowings at closing</x:v>
      </x:c>
      <x:c r="C44" s="100" t="n">
        <x:f>SUM(C42:C43)+C38</x:f>
        <x:v>18836.56076306756</x:v>
      </x:c>
      <x:c r="D44" s="100"/>
      <x:c r="E44" s="120" t="str">
        <x:v>Legacy borrowings are carried into the combined group; they are not funded a second time.</x:v>
      </x:c>
      <x:c r="F44" s="120"/>
      <x:c r="G44" s="120"/>
      <x:c r="H44" s="120"/>
      <x:c r="I44" s="2"/>
      <x:c r="J44" s="2"/>
    </x:row>
    <x:row r="45" ht="24" customHeight="1">
      <x:c r="A45" s="2"/>
      <x:c r="B45" s="2" t="str">
        <x:v>Combined historical liquid assets</x:v>
      </x:c>
      <x:c r="C45" s="28" t="n">
        <x:f>C35+'JB history'!G41+'JB history'!G42</x:f>
        <x:v>1117.8895</x:v>
      </x:c>
      <x:c r="D45" s="3"/>
      <x:c r="E45" s="3"/>
      <x:c r="F45" s="3"/>
      <x:c r="G45" s="3"/>
      <x:c r="H45" s="3"/>
      <x:c r="I45" s="2"/>
      <x:c r="J45" s="2"/>
    </x:row>
    <x:row r="46" ht="43" customHeight="1">
      <x:c r="A46" s="2"/>
      <x:c r="B46" s="2" t="str">
        <x:v>Pro forma opening liquid assets</x:v>
      </x:c>
      <x:c r="C46" s="3" t="n">
        <x:f>C45-C37</x:f>
        <x:v>617.8895</x:v>
      </x:c>
      <x:c r="D46" s="3"/>
      <x:c r="E46" s="103" t="str">
        <x:v>Current investments are a liquidity proxy. Restricted deposits and other bank balances are excluded.</x:v>
      </x:c>
      <x:c r="F46" s="103"/>
      <x:c r="G46" s="103"/>
      <x:c r="H46" s="103"/>
      <x:c r="I46" s="2"/>
      <x:c r="J46" s="2"/>
    </x:row>
    <x:row r="47" ht="24" customHeight="1">
      <x:c r="A47" s="2"/>
      <x:c r="B47" s="98" t="str">
        <x:v>Pro forma opening net debt</x:v>
      </x:c>
      <x:c r="C47" s="100" t="n">
        <x:f>C44-C46</x:f>
        <x:v>18218.671263067557</x:v>
      </x:c>
      <x:c r="D47" s="100"/>
      <x:c r="E47" s="100"/>
      <x:c r="F47" s="100"/>
      <x:c r="G47" s="100"/>
      <x:c r="H47" s="100"/>
      <x:c r="I47" s="2"/>
      <x:c r="J47" s="2"/>
    </x:row>
    <x:row r="48" ht="24" customHeight="1">
      <x:c r="A48" s="2"/>
      <x:c r="B48" s="2" t="str">
        <x:v>Combined FY25 operating EBITDA</x:v>
      </x:c>
      <x:c r="C48" s="28" t="n">
        <x:f>'Torrent history'!G14+'JB history'!G14</x:f>
        <x:v>4752.8285000000005</x:v>
      </x:c>
      <x:c r="D48" s="3"/>
      <x:c r="E48" s="3"/>
      <x:c r="F48" s="3"/>
      <x:c r="G48" s="3"/>
      <x:c r="H48" s="3"/>
      <x:c r="I48" s="2"/>
      <x:c r="J48" s="2"/>
    </x:row>
    <x:row r="49" ht="24" customHeight="1">
      <x:c r="A49" s="2"/>
      <x:c r="B49" s="98" t="str">
        <x:v>Opening net debt / FY25 EBITDA (x)</x:v>
      </x:c>
      <x:c r="C49" s="118" t="n">
        <x:f>C47/C48</x:f>
        <x:v>3.8332271536975413</x:v>
      </x:c>
      <x:c r="D49" s="100"/>
      <x:c r="E49" s="100"/>
      <x:c r="F49" s="100"/>
      <x:c r="G49" s="100"/>
      <x:c r="H49" s="100"/>
      <x:c r="I49" s="2"/>
      <x:c r="J49" s="2"/>
    </x:row>
    <x:row r="50" ht="24" customHeight="1">
      <x:c r="A50" s="2"/>
      <x:c r="B50" s="2"/>
      <x:c r="C50" s="3"/>
      <x:c r="D50" s="3"/>
      <x:c r="E50" s="3"/>
      <x:c r="F50" s="3"/>
      <x:c r="G50" s="3"/>
      <x:c r="H50" s="3"/>
      <x:c r="I50" s="2"/>
      <x:c r="J50" s="2"/>
    </x:row>
    <x:row r="51" ht="27" customHeight="1">
      <x:c r="A51" s="2"/>
      <x:c r="B51" s="90" t="str">
        <x:v>RECONCILIATIONS</x:v>
      </x:c>
      <x:c r="C51" s="102"/>
      <x:c r="D51" s="102"/>
      <x:c r="E51" s="102"/>
      <x:c r="F51" s="102"/>
      <x:c r="G51" s="102"/>
      <x:c r="H51" s="102"/>
      <x:c r="I51" s="2"/>
      <x:c r="J51" s="2"/>
    </x:row>
    <x:row r="52" ht="24" customHeight="1">
      <x:c r="A52" s="2"/>
      <x:c r="B52" s="2" t="str">
        <x:v>Sources less uses</x:v>
      </x:c>
      <x:c r="C52" s="121" t="n">
        <x:f>C39-C32</x:f>
        <x:v>0</x:v>
      </x:c>
      <x:c r="D52" s="3"/>
      <x:c r="E52" s="3"/>
      <x:c r="F52" s="3"/>
      <x:c r="G52" s="3"/>
      <x:c r="H52" s="3"/>
      <x:c r="I52" s="2"/>
      <x:c r="J52" s="2"/>
    </x:row>
    <x:row r="53" ht="24" customHeight="1">
      <x:c r="A53" s="2"/>
      <x:c r="B53" s="2" t="str">
        <x:v>JB share allocation difference</x:v>
      </x:c>
      <x:c r="C53" s="121" t="n">
        <x:f>C9-C15-C18</x:f>
        <x:v>0</x:v>
      </x:c>
      <x:c r="D53" s="3"/>
      <x:c r="E53" s="3"/>
      <x:c r="F53" s="3"/>
      <x:c r="G53" s="3"/>
      <x:c r="H53" s="3"/>
      <x:c r="I53" s="2"/>
      <x:c r="J53" s="2"/>
    </x:row>
    <x:row r="54" ht="24" customHeight="1">
      <x:c r="A54" s="2"/>
      <x:c r="B54" s="2" t="str">
        <x:v>Share exchange difference</x:v>
      </x:c>
      <x:c r="C54" s="121" t="n">
        <x:f>C20-C18*C19</x:f>
        <x:v>0</x:v>
      </x:c>
      <x:c r="D54" s="3"/>
      <x:c r="E54" s="3"/>
      <x:c r="F54" s="3"/>
      <x:c r="G54" s="3"/>
      <x:c r="H54" s="3"/>
      <x:c r="I54" s="2"/>
      <x:c r="J54" s="2"/>
    </x:row>
    <x:row r="55" ht="24" customHeight="1">
      <x:c r="A55" s="2"/>
      <x:c r="B55" s="2" t="str">
        <x:v>Liquidity below minimum (positive = issue)</x:v>
      </x:c>
      <x:c r="C55" s="121" t="n">
        <x:f>MAX(C36-(C35-C37),0)</x:f>
        <x:v>0</x:v>
      </x:c>
      <x:c r="D55" s="3"/>
      <x:c r="E55" s="3"/>
      <x:c r="F55" s="3"/>
      <x:c r="G55" s="3"/>
      <x:c r="H55" s="3"/>
      <x:c r="I55" s="2"/>
      <x:c r="J55" s="2"/>
    </x:row>
    <x:row r="56" ht="24" customHeight="1">
      <x:c r="A56" s="2"/>
      <x:c r="B56" s="2" t="str">
        <x:v>Cash ownership above 100% (positive = issue)</x:v>
      </x:c>
      <x:c r="C56" s="121" t="n">
        <x:f>MAX(C16-1,0)</x:f>
        <x:v>0</x:v>
      </x:c>
      <x:c r="D56" s="3"/>
      <x:c r="E56" s="3"/>
      <x:c r="F56" s="3"/>
      <x:c r="G56" s="3"/>
      <x:c r="H56" s="3"/>
      <x:c r="I56" s="2"/>
      <x:c r="J56" s="2"/>
    </x:row>
    <x:row r="57" ht="24" customHeight="1">
      <x:c r="A57" s="2"/>
      <x:c r="B57" s="2"/>
      <x:c r="C57" s="3"/>
      <x:c r="D57" s="3"/>
      <x:c r="E57" s="3"/>
      <x:c r="F57" s="3"/>
      <x:c r="G57" s="3"/>
      <x:c r="H57" s="3"/>
      <x:c r="I57" s="2"/>
      <x:c r="J57" s="2"/>
    </x:row>
    <x:row r="58" ht="43" customHeight="1">
      <x:c r="A58" s="2"/>
      <x:c r="B58" s="86" t="str">
        <x:v>A zero-offer case still includes the KKR block and assumed employee purchases. A 50% take-up means half of the 26% offer capacity, equivalent to approximately 13% of expanded JB shares.</x:v>
      </x:c>
      <x:c r="C58" s="103"/>
      <x:c r="D58" s="103"/>
      <x:c r="E58" s="103"/>
      <x:c r="F58" s="103"/>
      <x:c r="G58" s="103"/>
      <x:c r="H58" s="103"/>
      <x:c r="I58" s="2"/>
      <x:c r="J58" s="2"/>
    </x:row>
    <x:row r="59" ht="44" customHeight="1">
      <x:c r="A59" s="2"/>
      <x:c r="B59" s="86" t="str">
        <x:v>Merger shares are issued only on remaining externally held JB shares. Shares already acquired by Torrent are cancelled. ESOP dilution is included once, in expanded capital.</x:v>
      </x:c>
      <x:c r="C59" s="103"/>
      <x:c r="D59" s="103"/>
      <x:c r="E59" s="103"/>
      <x:c r="F59" s="103"/>
      <x:c r="G59" s="103"/>
      <x:c r="H59" s="103"/>
      <x:c r="I59" s="2"/>
      <x:c r="J59" s="2"/>
    </x:row>
    <x:row r="60" ht="43" customHeight="1">
      <x:c r="A60" s="2"/>
      <x:c r="B60" s="86" t="str">
        <x:v>The full-cap employee and open-offer case is a funding stress case. Regulatory sequencing / public-float restoration actions, if needed, are not simulated.</x:v>
      </x:c>
      <x:c r="C60" s="103"/>
      <x:c r="D60" s="103"/>
      <x:c r="E60" s="103"/>
      <x:c r="F60" s="103"/>
      <x:c r="G60" s="103"/>
      <x:c r="H60" s="103"/>
      <x:c r="I60" s="2"/>
      <x:c r="J60" s="2"/>
    </x:row>
    <x:row r="61" ht="24" customHeight="1">
      <x:c r="A61" s="2"/>
      <x:c r="B61" s="2"/>
      <x:c r="C61" s="3"/>
      <x:c r="D61" s="3"/>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sheetData>
  <x:mergeCells>
    <x:mergeCell ref="B2:H2"/>
    <x:mergeCell ref="B3:H3"/>
    <x:mergeCell ref="B6:H6"/>
    <x:mergeCell ref="B10:H10"/>
    <x:mergeCell ref="B17:H17"/>
    <x:mergeCell ref="B25:H25"/>
    <x:mergeCell ref="B34:H34"/>
    <x:mergeCell ref="B41:H41"/>
    <x:mergeCell ref="B51:H51"/>
    <x:mergeCell ref="E26:H26"/>
    <x:mergeCell ref="E30:H30"/>
    <x:mergeCell ref="E31:H31"/>
    <x:mergeCell ref="E37:H37"/>
    <x:mergeCell ref="E44:H44"/>
    <x:mergeCell ref="E46:H46"/>
    <x:mergeCell ref="B58:H58"/>
    <x:mergeCell ref="B59:H59"/>
    <x:mergeCell ref="B60:H60"/>
  </x:mergeCells>
  <x:conditionalFormatting sqref="C52:C56">
    <x:cfRule type="cellIs" dxfId="4" priority="1" operator="notBetween">
      <x:formula>-0.0001</x:formula>
      <x:formula>0.0001</x:formula>
    </x:cfRule>
  </x:conditionalFormatting>
  <x:pageMargins left="0.7" right="0.7" top="0.75" bottom="0.75" header="0.3" footer="0.3"/>
</x:worksheet>
</file>

<file path=xl/worksheets/sheet14.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Pro forma earnings and acquisition debt</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37" customHeight="1">
      <x:c r="A5" s="2"/>
      <x:c r="B5" s="2"/>
      <x:c r="C5" s="2"/>
      <x:c r="D5" s="122" t="str">
        <x:v>FY26E / Year 1</x:v>
      </x:c>
      <x:c r="E5" s="122" t="str">
        <x:v>FY27E / Year 2</x:v>
      </x:c>
      <x:c r="F5" s="122" t="str">
        <x:v>FY28E / Year 3</x:v>
      </x:c>
      <x:c r="G5" s="122" t="str">
        <x:v>FY29E / Year 4</x:v>
      </x:c>
      <x:c r="H5" s="122" t="str">
        <x:v>FY30E / Year 5</x:v>
      </x:c>
      <x:c r="I5" s="2"/>
      <x:c r="J5" s="2"/>
    </x:row>
    <x:row r="6" ht="27" customHeight="1">
      <x:c r="A6" s="2"/>
      <x:c r="B6" s="90" t="str">
        <x:v>STANDALONE BENCHMARK — STATIC LEGACY FINANCING</x:v>
      </x:c>
      <x:c r="C6" s="90"/>
      <x:c r="D6" s="90"/>
      <x:c r="E6" s="90"/>
      <x:c r="F6" s="90"/>
      <x:c r="G6" s="90"/>
      <x:c r="H6" s="90"/>
      <x:c r="I6" s="2"/>
      <x:c r="J6" s="2"/>
    </x:row>
    <x:row r="7" ht="24" customHeight="1">
      <x:c r="A7" s="2"/>
      <x:c r="B7" s="2" t="str">
        <x:v>Torrent standalone operating EBIT</x:v>
      </x:c>
      <x:c r="C7" s="3"/>
      <x:c r="D7" s="28" t="n">
        <x:f>'Torrent forecast'!D21</x:f>
        <x:v>3232.5296291000004</x:v>
      </x:c>
      <x:c r="E7" s="28" t="n">
        <x:f>'Torrent forecast'!E21</x:f>
        <x:v>3641.6938758650003</x:v>
      </x:c>
      <x:c r="F7" s="28" t="n">
        <x:f>'Torrent forecast'!F21</x:f>
        <x:v>4078.7571477935116</x:v>
      </x:c>
      <x:c r="G7" s="28" t="n">
        <x:f>'Torrent forecast'!G21</x:f>
        <x:v>4531.383468763817</x:v>
      </x:c>
      <x:c r="H7" s="28" t="n">
        <x:f>'Torrent forecast'!H21</x:f>
        <x:v>5005.409588288816</x:v>
      </x:c>
      <x:c r="I7" s="2"/>
      <x:c r="J7" s="2"/>
    </x:row>
    <x:row r="8" ht="24" customHeight="1">
      <x:c r="A8" s="2"/>
      <x:c r="B8" s="2" t="str">
        <x:v>Torrent other income (FY25 held flat)</x:v>
      </x:c>
      <x:c r="C8" s="3"/>
      <x:c r="D8" s="28" t="n">
        <x:f>'Torrent history'!$G$21</x:f>
        <x:v>23.27</x:v>
      </x:c>
      <x:c r="E8" s="28" t="n">
        <x:f>'Torrent history'!$G$21</x:f>
        <x:v>23.27</x:v>
      </x:c>
      <x:c r="F8" s="28" t="n">
        <x:f>'Torrent history'!$G$21</x:f>
        <x:v>23.27</x:v>
      </x:c>
      <x:c r="G8" s="28" t="n">
        <x:f>'Torrent history'!$G$21</x:f>
        <x:v>23.27</x:v>
      </x:c>
      <x:c r="H8" s="28" t="n">
        <x:f>'Torrent history'!$G$21</x:f>
        <x:v>23.27</x:v>
      </x:c>
      <x:c r="I8" s="2"/>
      <x:c r="J8" s="2"/>
    </x:row>
    <x:row r="9" ht="24" customHeight="1">
      <x:c r="A9" s="2"/>
      <x:c r="B9" s="2" t="str">
        <x:v>Torrent normalised legacy interest</x:v>
      </x:c>
      <x:c r="C9" s="3"/>
      <x:c r="D9" s="28" t="n">
        <x:f>'Sources and uses'!$C$42*'Deal inputs'!$C$29</x:f>
        <x:v>257.21765000000005</x:v>
      </x:c>
      <x:c r="E9" s="28" t="n">
        <x:f>'Sources and uses'!$C$42*'Deal inputs'!$C$29</x:f>
        <x:v>257.21765000000005</x:v>
      </x:c>
      <x:c r="F9" s="28" t="n">
        <x:f>'Sources and uses'!$C$42*'Deal inputs'!$C$29</x:f>
        <x:v>257.21765000000005</x:v>
      </x:c>
      <x:c r="G9" s="28" t="n">
        <x:f>'Sources and uses'!$C$42*'Deal inputs'!$C$29</x:f>
        <x:v>257.21765000000005</x:v>
      </x:c>
      <x:c r="H9" s="28" t="n">
        <x:f>'Sources and uses'!$C$42*'Deal inputs'!$C$29</x:f>
        <x:v>257.21765000000005</x:v>
      </x:c>
      <x:c r="I9" s="2"/>
      <x:c r="J9" s="2"/>
    </x:row>
    <x:row r="10" ht="24" customHeight="1">
      <x:c r="A10" s="2"/>
      <x:c r="B10" s="98" t="str">
        <x:v>Torrent standalone PAT benchmark</x:v>
      </x:c>
      <x:c r="C10" s="100"/>
      <x:c r="D10" s="125" t="n">
        <x:f>(D7+D8-D9)*(1-'Torrent forecast'!D22)</x:f>
        <x:v>2158.979024952</x:v>
      </x:c>
      <x:c r="E10" s="125" t="n">
        <x:f>(E7+E8-E9)*(1-'Torrent forecast'!E22)</x:f>
        <x:v>2453.5772826228</x:v>
      </x:c>
      <x:c r="F10" s="125" t="n">
        <x:f>(F7+F8-F9)*(1-'Torrent forecast'!F22)</x:f>
        <x:v>2768.2628384113286</x:v>
      </x:c>
      <x:c r="G10" s="125" t="n">
        <x:f>(G7+G8-G9)*(1-'Torrent forecast'!G22)</x:f>
        <x:v>3094.153789509948</x:v>
      </x:c>
      <x:c r="H10" s="125" t="n">
        <x:f>(H7+H8-H9)*(1-'Torrent forecast'!H22)</x:f>
        <x:v>3435.4525955679474</x:v>
      </x:c>
      <x:c r="I10" s="2"/>
      <x:c r="J10" s="2"/>
    </x:row>
    <x:row r="11" ht="24" customHeight="1">
      <x:c r="A11" s="2"/>
      <x:c r="B11" s="98" t="str">
        <x:v>Torrent standalone EPS benchmark</x:v>
      </x:c>
      <x:c r="C11" s="100"/>
      <x:c r="D11" s="125" t="n">
        <x:f>D10/'Sources and uses'!$C$21</x:f>
        <x:v>63.79105078065168</x:v>
      </x:c>
      <x:c r="E11" s="125" t="n">
        <x:f>E10/'Sources and uses'!$C$21</x:f>
        <x:v>72.49550422729288</x:v>
      </x:c>
      <x:c r="F11" s="125" t="n">
        <x:f>F10/'Sources and uses'!$C$21</x:f>
        <x:v>81.79347425721939</x:v>
      </x:c>
      <x:c r="G11" s="125" t="n">
        <x:f>G10/'Sources and uses'!$C$21</x:f>
        <x:v>91.42252853251468</x:v>
      </x:c>
      <x:c r="H11" s="125" t="n">
        <x:f>H10/'Sources and uses'!$C$21</x:f>
        <x:v>101.50683653967823</x:v>
      </x:c>
      <x:c r="I11" s="2"/>
      <x:c r="J11" s="2"/>
    </x:row>
    <x:row r="12" ht="24" customHeight="1">
      <x:c r="A12" s="2"/>
      <x:c r="B12" s="2"/>
      <x:c r="C12" s="3"/>
      <x:c r="D12" s="3"/>
      <x:c r="E12" s="3"/>
      <x:c r="F12" s="3"/>
      <x:c r="G12" s="3"/>
      <x:c r="H12" s="3"/>
      <x:c r="I12" s="2"/>
      <x:c r="J12" s="2"/>
    </x:row>
    <x:row r="13" ht="24" customHeight="1">
      <x:c r="A13" s="2"/>
      <x:c r="B13" s="2" t="str">
        <x:v>JB standalone operating EBIT</x:v>
      </x:c>
      <x:c r="C13" s="3"/>
      <x:c r="D13" s="28" t="n">
        <x:f>'JB forecast'!D21</x:f>
        <x:v>986.9806760580001</x:v>
      </x:c>
      <x:c r="E13" s="28" t="n">
        <x:f>'JB forecast'!E21</x:f>
        <x:v>1134.6948355421696</x:v>
      </x:c>
      <x:c r="F13" s="28" t="n">
        <x:f>'JB forecast'!F21</x:f>
        <x:v>1292.1986797355519</x:v>
      </x:c>
      <x:c r="G13" s="28" t="n">
        <x:f>'JB forecast'!G21</x:f>
        <x:v>1451.0703680250292</x:v>
      </x:c>
      <x:c r="H13" s="28" t="n">
        <x:f>'JB forecast'!H21</x:f>
        <x:v>1612.685856757447</x:v>
      </x:c>
      <x:c r="I13" s="2"/>
      <x:c r="J13" s="2"/>
    </x:row>
    <x:row r="14" ht="24" customHeight="1">
      <x:c r="A14" s="2"/>
      <x:c r="B14" s="2" t="str">
        <x:v>JB other income (FY25 held flat)</x:v>
      </x:c>
      <x:c r="C14" s="3"/>
      <x:c r="D14" s="28" t="n">
        <x:f>'JB history'!$G$21</x:f>
        <x:v>38.319</x:v>
      </x:c>
      <x:c r="E14" s="28" t="n">
        <x:f>'JB history'!$G$21</x:f>
        <x:v>38.319</x:v>
      </x:c>
      <x:c r="F14" s="28" t="n">
        <x:f>'JB history'!$G$21</x:f>
        <x:v>38.319</x:v>
      </x:c>
      <x:c r="G14" s="28" t="n">
        <x:f>'JB history'!$G$21</x:f>
        <x:v>38.319</x:v>
      </x:c>
      <x:c r="H14" s="28" t="n">
        <x:f>'JB history'!$G$21</x:f>
        <x:v>38.319</x:v>
      </x:c>
      <x:c r="I14" s="2"/>
      <x:c r="J14" s="2"/>
    </x:row>
    <x:row r="15" ht="24" customHeight="1">
      <x:c r="A15" s="2"/>
      <x:c r="B15" s="2" t="str">
        <x:v>JB normalised legacy interest</x:v>
      </x:c>
      <x:c r="C15" s="3"/>
      <x:c r="D15" s="28" t="n">
        <x:f>'Sources and uses'!$C$43*'Deal inputs'!$C$29</x:f>
        <x:v>1.1733230000000001</x:v>
      </x:c>
      <x:c r="E15" s="28" t="n">
        <x:f>'Sources and uses'!$C$43*'Deal inputs'!$C$29</x:f>
        <x:v>1.1733230000000001</x:v>
      </x:c>
      <x:c r="F15" s="28" t="n">
        <x:f>'Sources and uses'!$C$43*'Deal inputs'!$C$29</x:f>
        <x:v>1.1733230000000001</x:v>
      </x:c>
      <x:c r="G15" s="28" t="n">
        <x:f>'Sources and uses'!$C$43*'Deal inputs'!$C$29</x:f>
        <x:v>1.1733230000000001</x:v>
      </x:c>
      <x:c r="H15" s="28" t="n">
        <x:f>'Sources and uses'!$C$43*'Deal inputs'!$C$29</x:f>
        <x:v>1.1733230000000001</x:v>
      </x:c>
      <x:c r="I15" s="2"/>
      <x:c r="J15" s="2"/>
    </x:row>
    <x:row r="16" ht="24" customHeight="1">
      <x:c r="A16" s="2"/>
      <x:c r="B16" s="98" t="str">
        <x:v>JB standalone PAT benchmark</x:v>
      </x:c>
      <x:c r="C16" s="100"/>
      <x:c r="D16" s="125" t="n">
        <x:f>(D13+D14-D15)*(1-'JB forecast'!D22)</x:f>
        <x:v>757.8535012629201</x:v>
      </x:c>
      <x:c r="E16" s="125" t="n">
        <x:f>(E13+E14-E15)*(1-'JB forecast'!E22)</x:f>
        <x:v>867.1619792812055</x:v>
      </x:c>
      <x:c r="F16" s="125" t="n">
        <x:f>(F13+F14-F15)*(1-'JB forecast'!F22)</x:f>
        <x:v>983.7148239843084</x:v>
      </x:c>
      <x:c r="G16" s="125" t="n">
        <x:f>(G13+G14-G15)*(1-'JB forecast'!G22)</x:f>
        <x:v>1101.2798733185216</x:v>
      </x:c>
      <x:c r="H16" s="125" t="n">
        <x:f>(H13+H14-H15)*(1-'JB forecast'!H22)</x:f>
        <x:v>1220.8753349805108</x:v>
      </x:c>
      <x:c r="I16" s="2"/>
      <x:c r="J16" s="2"/>
    </x:row>
    <x:row r="17" ht="24" customHeight="1">
      <x:c r="A17" s="2"/>
      <x:c r="B17" s="2"/>
      <x:c r="C17" s="3"/>
      <x:c r="D17" s="3"/>
      <x:c r="E17" s="3"/>
      <x:c r="F17" s="3"/>
      <x:c r="G17" s="3"/>
      <x:c r="H17" s="3"/>
      <x:c r="I17" s="2"/>
      <x:c r="J17" s="2"/>
    </x:row>
    <x:row r="18" ht="27" customHeight="1">
      <x:c r="A18" s="2"/>
      <x:c r="B18" s="90" t="str">
        <x:v>DEAL ADJUSTMENTS AND EARNINGS</x:v>
      </x:c>
      <x:c r="C18" s="102"/>
      <x:c r="D18" s="102"/>
      <x:c r="E18" s="102"/>
      <x:c r="F18" s="102"/>
      <x:c r="G18" s="102"/>
      <x:c r="H18" s="102"/>
      <x:c r="I18" s="2"/>
      <x:c r="J18" s="2"/>
    </x:row>
    <x:row r="19" ht="24" customHeight="1">
      <x:c r="A19" s="2"/>
      <x:c r="B19" s="2" t="str">
        <x:v>Acquisition debt: opening balance</x:v>
      </x:c>
      <x:c r="C19" s="3"/>
      <x:c r="D19" s="28" t="n">
        <x:f>'Sources and uses'!$C$38</x:f>
        <x:v>15796.666963067557</x:v>
      </x:c>
      <x:c r="E19" s="3" t="n">
        <x:f>D47</x:f>
        <x:v>14724.268028911598</x:v>
      </x:c>
      <x:c r="F19" s="3" t="n">
        <x:f>E47</x:f>
        <x:v>13323.967767333028</x:v>
      </x:c>
      <x:c r="G19" s="3" t="n">
        <x:f>F47</x:f>
        <x:v>11545.773488779425</x:v>
      </x:c>
      <x:c r="H19" s="3" t="n">
        <x:f>G47</x:f>
        <x:v>9425.933451853969</x:v>
      </x:c>
      <x:c r="I19" s="2"/>
      <x:c r="J19" s="2"/>
    </x:row>
    <x:row r="20" ht="24" customHeight="1">
      <x:c r="A20" s="2"/>
      <x:c r="B20" s="2" t="str">
        <x:v>Acquisition debt interest</x:v>
      </x:c>
      <x:c r="C20" s="3"/>
      <x:c r="D20" s="28" t="n">
        <x:f>D19*'Deal inputs'!$C$28</x:f>
        <x:v>1342.7166918607425</x:v>
      </x:c>
      <x:c r="E20" s="28" t="n">
        <x:f>E19*'Deal inputs'!$C$28</x:f>
        <x:v>1251.5627824574858</x:v>
      </x:c>
      <x:c r="F20" s="28" t="n">
        <x:f>F19*'Deal inputs'!$C$28</x:f>
        <x:v>1132.5372602233074</x:v>
      </x:c>
      <x:c r="G20" s="28" t="n">
        <x:f>G19*'Deal inputs'!$C$28</x:f>
        <x:v>981.3907465462512</x:v>
      </x:c>
      <x:c r="H20" s="28" t="n">
        <x:f>H19*'Deal inputs'!$C$28</x:f>
        <x:v>801.2043434075874</x:v>
      </x:c>
      <x:c r="I20" s="2"/>
      <x:c r="J20" s="2"/>
    </x:row>
    <x:row r="21" ht="24" customHeight="1">
      <x:c r="A21" s="2"/>
      <x:c r="B21" s="2" t="str">
        <x:v>Synergy ramp</x:v>
      </x:c>
      <x:c r="C21" s="3"/>
      <x:c r="D21" s="76" t="n">
        <x:f>'Deal inputs'!D45</x:f>
        <x:v>0.2</x:v>
      </x:c>
      <x:c r="E21" s="76" t="n">
        <x:f>'Deal inputs'!E45</x:f>
        <x:v>0.5</x:v>
      </x:c>
      <x:c r="F21" s="76" t="n">
        <x:f>'Deal inputs'!F45</x:f>
        <x:v>0.8</x:v>
      </x:c>
      <x:c r="G21" s="76" t="n">
        <x:f>'Deal inputs'!G45</x:f>
        <x:v>1</x:v>
      </x:c>
      <x:c r="H21" s="76" t="n">
        <x:f>'Deal inputs'!H45</x:f>
        <x:v>1</x:v>
      </x:c>
      <x:c r="I21" s="2"/>
      <x:c r="J21" s="2"/>
    </x:row>
    <x:row r="22" ht="24" customHeight="1">
      <x:c r="A22" s="2"/>
      <x:c r="B22" s="2" t="str">
        <x:v>Gross cost synergies</x:v>
      </x:c>
      <x:c r="C22" s="3"/>
      <x:c r="D22" s="28" t="n">
        <x:f>D21*'Deal inputs'!$C$35</x:f>
        <x:v>60</x:v>
      </x:c>
      <x:c r="E22" s="28" t="n">
        <x:f>E21*'Deal inputs'!$C$35</x:f>
        <x:v>150</x:v>
      </x:c>
      <x:c r="F22" s="28" t="n">
        <x:f>F21*'Deal inputs'!$C$35</x:f>
        <x:v>240</x:v>
      </x:c>
      <x:c r="G22" s="28" t="n">
        <x:f>G21*'Deal inputs'!$C$35</x:f>
        <x:v>300</x:v>
      </x:c>
      <x:c r="H22" s="28" t="n">
        <x:f>H21*'Deal inputs'!$C$35</x:f>
        <x:v>300</x:v>
      </x:c>
      <x:c r="I22" s="2"/>
      <x:c r="J22" s="2"/>
    </x:row>
    <x:row r="23" ht="24" customHeight="1">
      <x:c r="A23" s="2"/>
      <x:c r="B23" s="2" t="str">
        <x:v>Integration expense</x:v>
      </x:c>
      <x:c r="C23" s="3"/>
      <x:c r="D23" s="28" t="n">
        <x:f>'Deal inputs'!D46</x:f>
        <x:v>150</x:v>
      </x:c>
      <x:c r="E23" s="28" t="n">
        <x:f>'Deal inputs'!E46</x:f>
        <x:v>100</x:v>
      </x:c>
      <x:c r="F23" s="28" t="n">
        <x:f>'Deal inputs'!F46</x:f>
        <x:v>0</x:v>
      </x:c>
      <x:c r="G23" s="28" t="n">
        <x:f>'Deal inputs'!G46</x:f>
        <x:v>0</x:v>
      </x:c>
      <x:c r="H23" s="28" t="n">
        <x:f>'Deal inputs'!H46</x:f>
        <x:v>0</x:v>
      </x:c>
      <x:c r="I23" s="2"/>
      <x:c r="J23" s="2"/>
    </x:row>
    <x:row r="24" ht="24" customHeight="1">
      <x:c r="A24" s="2"/>
      <x:c r="B24" s="2" t="str">
        <x:v>Income forgone on Torrent cash used</x:v>
      </x:c>
      <x:c r="C24" s="3"/>
      <x:c r="D24" s="28" t="n">
        <x:f>'Sources and uses'!$C$37*'Deal inputs'!$C$30</x:f>
        <x:v>20</x:v>
      </x:c>
      <x:c r="E24" s="28" t="n">
        <x:f>'Sources and uses'!$C$37*'Deal inputs'!$C$30</x:f>
        <x:v>20</x:v>
      </x:c>
      <x:c r="F24" s="28" t="n">
        <x:f>'Sources and uses'!$C$37*'Deal inputs'!$C$30</x:f>
        <x:v>20</x:v>
      </x:c>
      <x:c r="G24" s="28" t="n">
        <x:f>'Sources and uses'!$C$37*'Deal inputs'!$C$30</x:f>
        <x:v>20</x:v>
      </x:c>
      <x:c r="H24" s="28" t="n">
        <x:f>'Sources and uses'!$C$37*'Deal inputs'!$C$30</x:f>
        <x:v>20</x:v>
      </x:c>
      <x:c r="I24" s="2"/>
      <x:c r="J24" s="2"/>
    </x:row>
    <x:row r="25" ht="24" customHeight="1">
      <x:c r="A25" s="2"/>
      <x:c r="B25" s="2" t="str">
        <x:v>Financing fee amortisation</x:v>
      </x:c>
      <x:c r="C25" s="3"/>
      <x:c r="D25" s="28" t="n">
        <x:f>IF(1&lt;='Deal inputs'!$C$33,'Sources and uses'!$C$31/'Deal inputs'!$C$33,0)</x:f>
        <x:v>31.593333926135113</x:v>
      </x:c>
      <x:c r="E25" s="28" t="n">
        <x:f>IF(2&lt;='Deal inputs'!$C$33,'Sources and uses'!$C$31/'Deal inputs'!$C$33,0)</x:f>
        <x:v>31.593333926135113</x:v>
      </x:c>
      <x:c r="F25" s="28" t="n">
        <x:f>IF(3&lt;='Deal inputs'!$C$33,'Sources and uses'!$C$31/'Deal inputs'!$C$33,0)</x:f>
        <x:v>31.593333926135113</x:v>
      </x:c>
      <x:c r="G25" s="28" t="n">
        <x:f>IF(4&lt;='Deal inputs'!$C$33,'Sources and uses'!$C$31/'Deal inputs'!$C$33,0)</x:f>
        <x:v>31.593333926135113</x:v>
      </x:c>
      <x:c r="H25" s="28" t="n">
        <x:f>IF(5&lt;='Deal inputs'!$C$33,'Sources and uses'!$C$31/'Deal inputs'!$C$33,0)</x:f>
        <x:v>31.593333926135113</x:v>
      </x:c>
      <x:c r="I25" s="2"/>
      <x:c r="J25" s="2"/>
    </x:row>
    <x:row r="26" ht="24" customHeight="1">
      <x:c r="A26" s="2"/>
      <x:c r="B26" s="2" t="str">
        <x:v>Tax benefit / (expense) on adjustments</x:v>
      </x:c>
      <x:c r="C26" s="3"/>
      <x:c r="D26" s="28" t="n">
        <x:f>(D20+D23+D24+D25-D22)*'Deal inputs'!$C$34</x:f>
        <x:v>385.9206067045882</x:v>
      </x:c>
      <x:c r="E26" s="28" t="n">
        <x:f>(E20+E23+E24+E25-E22)*'Deal inputs'!$C$34</x:f>
        <x:v>325.82059025974144</x:v>
      </x:c>
      <x:c r="F26" s="28" t="n">
        <x:f>(F20+F23+F24+F25-F22)*'Deal inputs'!$C$34</x:f>
        <x:v>245.47395447885503</x:v>
      </x:c>
      <x:c r="G26" s="28" t="n">
        <x:f>(G20+G23+G24+G25-G22)*'Deal inputs'!$C$34</x:f>
        <x:v>190.57586092282043</x:v>
      </x:c>
      <x:c r="H26" s="28" t="n">
        <x:f>(H20+H23+H24+H25-H22)*'Deal inputs'!$C$34</x:f>
        <x:v>143.72739610676786</x:v>
      </x:c>
      <x:c r="I26" s="2"/>
      <x:c r="J26" s="2"/>
    </x:row>
    <x:row r="27" ht="24" customHeight="1">
      <x:c r="A27" s="2"/>
      <x:c r="B27" s="2" t="str">
        <x:v>Transaction fee expense (first year only)</x:v>
      </x:c>
      <x:c r="C27" s="3"/>
      <x:c r="D27" s="28" t="n">
        <x:f>'Sources and uses'!$C$30</x:f>
        <x:v>80.29204126088001</x:v>
      </x:c>
      <x:c r="E27" s="3" t="n">
        <x:f>0</x:f>
        <x:v>0</x:v>
      </x:c>
      <x:c r="F27" s="3" t="n">
        <x:f>0</x:f>
        <x:v>0</x:v>
      </x:c>
      <x:c r="G27" s="3" t="n">
        <x:f>0</x:f>
        <x:v>0</x:v>
      </x:c>
      <x:c r="H27" s="3" t="n">
        <x:f>0</x:f>
        <x:v>0</x:v>
      </x:c>
      <x:c r="I27" s="2"/>
      <x:c r="J27" s="2"/>
    </x:row>
    <x:row r="28" ht="24" customHeight="1">
      <x:c r="A28" s="2"/>
      <x:c r="B28" s="98" t="str">
        <x:v>PAT before incremental PPA amortisation</x:v>
      </x:c>
      <x:c r="C28" s="100"/>
      <x:c r="D28" s="100" t="n">
        <x:f>D10+D16+D22-D20-D23-D24-D25+D26-D27</x:f>
        <x:v>1738.1510658717507</x:v>
      </x:c>
      <x:c r="E28" s="100" t="n">
        <x:f>E10+E16+E22-E20-E23-E24-E25+E26-E27</x:f>
        <x:v>2393.403735780126</x:v>
      </x:c>
      <x:c r="F28" s="100" t="n">
        <x:f>F10+F16+F22-F20-F23-F24-F25+F26-F27</x:f>
        <x:v>3053.3210227250493</x:v>
      </x:c>
      <x:c r="G28" s="100" t="n">
        <x:f>G10+G16+G22-G20-G23-G24-G25+G26-G27</x:f>
        <x:v>3653.0254432789043</x:v>
      </x:c>
      <x:c r="H28" s="100" t="n">
        <x:f>H10+H16+H22-H20-H23-H24-H25+H26-H27</x:f>
        <x:v>4247.257649321503</x:v>
      </x:c>
      <x:c r="I28" s="2"/>
      <x:c r="J28" s="2"/>
    </x:row>
    <x:row r="29" ht="24" customHeight="1">
      <x:c r="A29" s="2"/>
      <x:c r="B29" s="2" t="str">
        <x:v>Incremental acquired-intangible amortisation</x:v>
      </x:c>
      <x:c r="C29" s="3"/>
      <x:c r="D29" s="28" t="n">
        <x:f>IF(1&lt;='Deal inputs'!$C$37,'Deal inputs'!$C$36/'Deal inputs'!$C$37,0)</x:f>
        <x:v>333.3333333333333</x:v>
      </x:c>
      <x:c r="E29" s="28" t="n">
        <x:f>IF(2&lt;='Deal inputs'!$C$37,'Deal inputs'!$C$36/'Deal inputs'!$C$37,0)</x:f>
        <x:v>333.3333333333333</x:v>
      </x:c>
      <x:c r="F29" s="28" t="n">
        <x:f>IF(3&lt;='Deal inputs'!$C$37,'Deal inputs'!$C$36/'Deal inputs'!$C$37,0)</x:f>
        <x:v>333.3333333333333</x:v>
      </x:c>
      <x:c r="G29" s="28" t="n">
        <x:f>IF(4&lt;='Deal inputs'!$C$37,'Deal inputs'!$C$36/'Deal inputs'!$C$37,0)</x:f>
        <x:v>333.3333333333333</x:v>
      </x:c>
      <x:c r="H29" s="28" t="n">
        <x:f>IF(5&lt;='Deal inputs'!$C$37,'Deal inputs'!$C$36/'Deal inputs'!$C$37,0)</x:f>
        <x:v>333.3333333333333</x:v>
      </x:c>
      <x:c r="I29" s="2"/>
      <x:c r="J29" s="2"/>
    </x:row>
    <x:row r="30" ht="24" customHeight="1">
      <x:c r="A30" s="2"/>
      <x:c r="B30" s="2" t="str">
        <x:v>Tax benefit on incremental amortisation</x:v>
      </x:c>
      <x:c r="C30" s="3"/>
      <x:c r="D30" s="28" t="n">
        <x:f>D29*'Deal inputs'!$C$38</x:f>
        <x:v>0</x:v>
      </x:c>
      <x:c r="E30" s="28" t="n">
        <x:f>E29*'Deal inputs'!$C$38</x:f>
        <x:v>0</x:v>
      </x:c>
      <x:c r="F30" s="28" t="n">
        <x:f>F29*'Deal inputs'!$C$38</x:f>
        <x:v>0</x:v>
      </x:c>
      <x:c r="G30" s="28" t="n">
        <x:f>G29*'Deal inputs'!$C$38</x:f>
        <x:v>0</x:v>
      </x:c>
      <x:c r="H30" s="28" t="n">
        <x:f>H29*'Deal inputs'!$C$38</x:f>
        <x:v>0</x:v>
      </x:c>
      <x:c r="I30" s="2"/>
      <x:c r="J30" s="2"/>
    </x:row>
    <x:row r="31" ht="24" customHeight="1">
      <x:c r="A31" s="2"/>
      <x:c r="B31" s="98" t="str">
        <x:v>Pro forma PAT after PPA assumption</x:v>
      </x:c>
      <x:c r="C31" s="100"/>
      <x:c r="D31" s="100" t="n">
        <x:f>D28-D29+D30</x:f>
        <x:v>1404.8177325384174</x:v>
      </x:c>
      <x:c r="E31" s="100" t="n">
        <x:f>E28-E29+E30</x:f>
        <x:v>2060.0704024467927</x:v>
      </x:c>
      <x:c r="F31" s="100" t="n">
        <x:f>F28-F29+F30</x:f>
        <x:v>2719.987689391716</x:v>
      </x:c>
      <x:c r="G31" s="100" t="n">
        <x:f>G28-G29+G30</x:f>
        <x:v>3319.692109945571</x:v>
      </x:c>
      <x:c r="H31" s="100" t="n">
        <x:f>H28-H29+H30</x:f>
        <x:v>3913.9243159881694</x:v>
      </x:c>
      <x:c r="I31" s="2"/>
      <x:c r="J31" s="2"/>
    </x:row>
    <x:row r="32" ht="24" customHeight="1">
      <x:c r="A32" s="2"/>
      <x:c r="B32" s="2" t="str">
        <x:v>Pro forma shares outstanding</x:v>
      </x:c>
      <x:c r="C32" s="3"/>
      <x:c r="D32" s="108" t="n">
        <x:f>'Sources and uses'!$C$22</x:f>
        <x:v>36.940487423</x:v>
      </x:c>
      <x:c r="E32" s="108" t="n">
        <x:f>'Sources and uses'!$C$22</x:f>
        <x:v>36.940487423</x:v>
      </x:c>
      <x:c r="F32" s="108" t="n">
        <x:f>'Sources and uses'!$C$22</x:f>
        <x:v>36.940487423</x:v>
      </x:c>
      <x:c r="G32" s="108" t="n">
        <x:f>'Sources and uses'!$C$22</x:f>
        <x:v>36.940487423</x:v>
      </x:c>
      <x:c r="H32" s="108" t="n">
        <x:f>'Sources and uses'!$C$22</x:f>
        <x:v>36.940487423</x:v>
      </x:c>
      <x:c r="I32" s="2"/>
      <x:c r="J32" s="2"/>
    </x:row>
    <x:row r="33" ht="24" customHeight="1">
      <x:c r="A33" s="2"/>
      <x:c r="B33" s="98" t="str">
        <x:v>Pro forma EPS after PPA assumption</x:v>
      </x:c>
      <x:c r="C33" s="100"/>
      <x:c r="D33" s="100" t="n">
        <x:f>D31/D32</x:f>
        <x:v>38.029214840942934</x:v>
      </x:c>
      <x:c r="E33" s="100" t="n">
        <x:f>E31/E32</x:f>
        <x:v>55.767277211511434</x:v>
      </x:c>
      <x:c r="F33" s="100" t="n">
        <x:f>F31/F32</x:f>
        <x:v>73.63161341769921</x:v>
      </x:c>
      <x:c r="G33" s="100" t="n">
        <x:f>G31/G32</x:f>
        <x:v>89.86595309185482</x:v>
      </x:c>
      <x:c r="H33" s="100" t="n">
        <x:f>H31/H32</x:f>
        <x:v>105.95215680752685</x:v>
      </x:c>
      <x:c r="I33" s="2"/>
      <x:c r="J33" s="2"/>
    </x:row>
    <x:row r="34" ht="24" customHeight="1">
      <x:c r="A34" s="2"/>
      <x:c r="B34" s="98" t="str">
        <x:v>EPS accretion / (dilution)</x:v>
      </x:c>
      <x:c r="C34" s="100"/>
      <x:c r="D34" s="99" t="n">
        <x:f>D33/D11-1</x:f>
        <x:v>-0.4038471795721307</x:v>
      </x:c>
      <x:c r="E34" s="99" t="n">
        <x:f>E33/E11-1</x:f>
        <x:v>-0.23074847459966574</x:v>
      </x:c>
      <x:c r="F34" s="99" t="n">
        <x:f>F33/F11-1</x:f>
        <x:v>-0.09978621049710179</x:v>
      </x:c>
      <x:c r="G34" s="99" t="n">
        <x:f>G33/G11-1</x:f>
        <x:v>-0.017026169212835285</x:v>
      </x:c>
      <x:c r="H34" s="99" t="n">
        <x:f>H33/H11-1</x:f>
        <x:v>0.043793309095106814</x:v>
      </x:c>
      <x:c r="I34" s="2"/>
      <x:c r="J34" s="2"/>
    </x:row>
    <x:row r="35" ht="24" customHeight="1">
      <x:c r="A35" s="2"/>
      <x:c r="B35" s="98" t="str">
        <x:v>EPS before incremental PPA amortisation</x:v>
      </x:c>
      <x:c r="C35" s="100"/>
      <x:c r="D35" s="100" t="n">
        <x:f>D28/D32</x:f>
        <x:v>47.052737717519605</x:v>
      </x:c>
      <x:c r="E35" s="100" t="n">
        <x:f>E28/E32</x:f>
        <x:v>64.79080008808812</x:v>
      </x:c>
      <x:c r="F35" s="100" t="n">
        <x:f>F28/F32</x:f>
        <x:v>82.65513629427589</x:v>
      </x:c>
      <x:c r="G35" s="100" t="n">
        <x:f>G28/G32</x:f>
        <x:v>98.8894759684315</x:v>
      </x:c>
      <x:c r="H35" s="100" t="n">
        <x:f>H28/H32</x:f>
        <x:v>114.97567968410353</x:v>
      </x:c>
      <x:c r="I35" s="2"/>
      <x:c r="J35" s="2"/>
    </x:row>
    <x:row r="36" ht="24" customHeight="1">
      <x:c r="A36" s="2"/>
      <x:c r="B36" s="98" t="str">
        <x:v>Accretion before incremental PPA amort.</x:v>
      </x:c>
      <x:c r="C36" s="100"/>
      <x:c r="D36" s="99" t="n">
        <x:f>D35/D11-1</x:f>
        <x:v>-0.26239280993642033</x:v>
      </x:c>
      <x:c r="E36" s="99" t="n">
        <x:f>E35/E11-1</x:f>
        <x:v>-0.10627837162216913</x:v>
      </x:c>
      <x:c r="F36" s="99" t="n">
        <x:f>F35/F11-1</x:f>
        <x:v>0.010534606151424653</x:v>
      </x:c>
      <x:c r="G36" s="99" t="n">
        <x:f>G35/G11-1</x:f>
        <x:v>0.08167513583111163</x:v>
      </x:c>
      <x:c r="H36" s="99" t="n">
        <x:f>H35/H11-1</x:f>
        <x:v>0.13268902473539734</x:v>
      </x:c>
      <x:c r="I36" s="2"/>
      <x:c r="J36" s="2"/>
    </x:row>
    <x:row r="37" ht="24" customHeight="1">
      <x:c r="A37" s="2"/>
      <x:c r="B37" s="2"/>
      <x:c r="C37" s="3"/>
      <x:c r="D37" s="3"/>
      <x:c r="E37" s="3"/>
      <x:c r="F37" s="3"/>
      <x:c r="G37" s="3"/>
      <x:c r="H37" s="3"/>
      <x:c r="I37" s="2"/>
      <x:c r="J37" s="2"/>
    </x:row>
    <x:row r="38" ht="27" customHeight="1">
      <x:c r="A38" s="2"/>
      <x:c r="B38" s="90" t="str">
        <x:v>CASH FLOW AND ACQUISITION-DEBT REPAYMENT</x:v>
      </x:c>
      <x:c r="C38" s="102"/>
      <x:c r="D38" s="102"/>
      <x:c r="E38" s="102"/>
      <x:c r="F38" s="102"/>
      <x:c r="G38" s="102"/>
      <x:c r="H38" s="102"/>
      <x:c r="I38" s="2"/>
      <x:c r="J38" s="2"/>
    </x:row>
    <x:row r="39" ht="24" customHeight="1">
      <x:c r="A39" s="2"/>
      <x:c r="B39" s="2" t="str">
        <x:v>Combined operating FCF proxy</x:v>
      </x:c>
      <x:c r="C39" s="3"/>
      <x:c r="D39" s="28" t="n">
        <x:f>'Torrent forecast'!D42+'JB forecast'!D42</x:f>
        <x:v>3001.5720564759195</x:v>
      </x:c>
      <x:c r="E39" s="28" t="n">
        <x:f>'Torrent forecast'!E42+'JB forecast'!E42</x:f>
        <x:v>3456.9540397282067</x:v>
      </x:c>
      <x:c r="F39" s="28" t="n">
        <x:f>'Torrent forecast'!F42+'JB forecast'!F42</x:f>
        <x:v>3912.124309136254</x:v>
      </x:c>
      <x:c r="G39" s="28" t="n">
        <x:f>'Torrent forecast'!G42+'JB forecast'!G42</x:f>
        <x:v>4375.364055427723</x:v>
      </x:c>
      <x:c r="H39" s="28" t="n">
        <x:f>'Torrent forecast'!H42+'JB forecast'!H42</x:f>
        <x:v>4862.641854127257</x:v>
      </x:c>
      <x:c r="I39" s="2"/>
      <x:c r="J39" s="2"/>
    </x:row>
    <x:row r="40" ht="24" customHeight="1">
      <x:c r="A40" s="2"/>
      <x:c r="B40" s="2" t="str">
        <x:v>Legacy other income, after tax</x:v>
      </x:c>
      <x:c r="C40" s="3"/>
      <x:c r="D40" s="28" t="n">
        <x:f>D8*(1-'Torrent forecast'!D22)+D14*(1-'JB forecast'!D22)</x:f>
        <x:v>45.11046</x:v>
      </x:c>
      <x:c r="E40" s="28" t="n">
        <x:f>E8*(1-'Torrent forecast'!E22)+E14*(1-'JB forecast'!E22)</x:f>
        <x:v>45.11046</x:v>
      </x:c>
      <x:c r="F40" s="28" t="n">
        <x:f>F8*(1-'Torrent forecast'!F22)+F14*(1-'JB forecast'!F22)</x:f>
        <x:v>45.11046</x:v>
      </x:c>
      <x:c r="G40" s="28" t="n">
        <x:f>G8*(1-'Torrent forecast'!G22)+G14*(1-'JB forecast'!G22)</x:f>
        <x:v>45.11046</x:v>
      </x:c>
      <x:c r="H40" s="28" t="n">
        <x:f>H8*(1-'Torrent forecast'!H22)+H14*(1-'JB forecast'!H22)</x:f>
        <x:v>45.11046</x:v>
      </x:c>
      <x:c r="I40" s="2"/>
      <x:c r="J40" s="2"/>
    </x:row>
    <x:row r="41" ht="24" customHeight="1">
      <x:c r="A41" s="2"/>
      <x:c r="B41" s="2" t="str">
        <x:v>Legacy borrowing interest, after tax</x:v>
      </x:c>
      <x:c r="C41" s="3"/>
      <x:c r="D41" s="28" t="n">
        <x:f>D9*(1-'Torrent forecast'!D22)+D15*(1-'JB forecast'!D22)</x:f>
        <x:v>186.06496702000004</x:v>
      </x:c>
      <x:c r="E41" s="28" t="n">
        <x:f>E9*(1-'Torrent forecast'!E22)+E15*(1-'JB forecast'!E22)</x:f>
        <x:v>186.06496702000004</x:v>
      </x:c>
      <x:c r="F41" s="28" t="n">
        <x:f>F9*(1-'Torrent forecast'!F22)+F15*(1-'JB forecast'!F22)</x:f>
        <x:v>186.06496702000004</x:v>
      </x:c>
      <x:c r="G41" s="28" t="n">
        <x:f>G9*(1-'Torrent forecast'!G22)+G15*(1-'JB forecast'!G22)</x:f>
        <x:v>186.06496702000004</x:v>
      </x:c>
      <x:c r="H41" s="28" t="n">
        <x:f>H9*(1-'Torrent forecast'!H22)+H15*(1-'JB forecast'!H22)</x:f>
        <x:v>186.06496702000004</x:v>
      </x:c>
      <x:c r="I41" s="2"/>
      <x:c r="J41" s="2"/>
    </x:row>
    <x:row r="42" ht="24" customHeight="1">
      <x:c r="A42" s="2"/>
      <x:c r="B42" s="2" t="str">
        <x:v>Net deal cash adjustments, after tax</x:v>
      </x:c>
      <x:c r="C42" s="3"/>
      <x:c r="D42" s="28" t="n">
        <x:f>(D22-D23-D20-D24)*(1-'Deal inputs'!$C$34)+D25*'Deal inputs'!$C$34+D30</x:f>
        <x:v>-1066.7960851561543</x:v>
      </x:c>
      <x:c r="E42" s="28" t="n">
        <x:f>(E22-E23-E20-E24)*(1-'Deal inputs'!$C$34)+E25*'Deal inputs'!$C$34+E30</x:f>
        <x:v>-895.7421921977443</x:v>
      </x:c>
      <x:c r="F42" s="28" t="n">
        <x:f>(F22-F23-F20-F24)*(1-'Deal inputs'!$C$34)+F25*'Deal inputs'!$C$34+F30</x:f>
        <x:v>-667.0633057444524</x:v>
      </x:c>
      <x:c r="G42" s="28" t="n">
        <x:f>(G22-G23-G20-G24)*(1-'Deal inputs'!$C$34)+G25*'Deal inputs'!$C$34+G30</x:f>
        <x:v>-510.8148856234308</x:v>
      </x:c>
      <x:c r="H42" s="28" t="n">
        <x:f>(H22-H23-H20-H24)*(1-'Deal inputs'!$C$34)+H25*'Deal inputs'!$C$34+H30</x:f>
        <x:v>-377.4769473008196</x:v>
      </x:c>
      <x:c r="I42" s="2"/>
      <x:c r="J42" s="2"/>
    </x:row>
    <x:row r="43" ht="24" customHeight="1">
      <x:c r="A43" s="2"/>
      <x:c r="B43" s="2" t="str">
        <x:v>Lease cash allowance</x:v>
      </x:c>
      <x:c r="C43" s="3"/>
      <x:c r="D43" s="28" t="n">
        <x:f>'Deal inputs'!$C$41</x:f>
        <x:v>40.34</x:v>
      </x:c>
      <x:c r="E43" s="28" t="n">
        <x:f>'Deal inputs'!$C$41</x:f>
        <x:v>40.34</x:v>
      </x:c>
      <x:c r="F43" s="28" t="n">
        <x:f>'Deal inputs'!$C$41</x:f>
        <x:v>40.34</x:v>
      </x:c>
      <x:c r="G43" s="28" t="n">
        <x:f>'Deal inputs'!$C$41</x:f>
        <x:v>40.34</x:v>
      </x:c>
      <x:c r="H43" s="28" t="n">
        <x:f>'Deal inputs'!$C$41</x:f>
        <x:v>40.34</x:v>
      </x:c>
      <x:c r="I43" s="2"/>
      <x:c r="J43" s="2"/>
    </x:row>
    <x:row r="44" ht="24" customHeight="1">
      <x:c r="A44" s="2"/>
      <x:c r="B44" s="2" t="str">
        <x:v>Dividends</x:v>
      </x:c>
      <x:c r="C44" s="3"/>
      <x:c r="D44" s="28" t="n">
        <x:f>MAX(D31,0)*'Deal inputs'!$C$39</x:f>
        <x:v>561.927093015367</x:v>
      </x:c>
      <x:c r="E44" s="28" t="n">
        <x:f>MAX(E31,0)*'Deal inputs'!$C$39</x:f>
        <x:v>824.0281609787171</x:v>
      </x:c>
      <x:c r="F44" s="28" t="n">
        <x:f>MAX(F31,0)*'Deal inputs'!$C$39</x:f>
        <x:v>1087.9950757566864</x:v>
      </x:c>
      <x:c r="G44" s="28" t="n">
        <x:f>MAX(G31,0)*'Deal inputs'!$C$39</x:f>
        <x:v>1327.8768439782284</x:v>
      </x:c>
      <x:c r="H44" s="28" t="n">
        <x:f>MAX(H31,0)*'Deal inputs'!$C$39</x:f>
        <x:v>1565.569726395268</x:v>
      </x:c>
      <x:c r="I44" s="2"/>
      <x:c r="J44" s="2"/>
    </x:row>
    <x:row r="45" ht="24" customHeight="1">
      <x:c r="A45" s="2"/>
      <x:c r="B45" s="98" t="str">
        <x:v>Cash available before debt repayment</x:v>
      </x:c>
      <x:c r="C45" s="100"/>
      <x:c r="D45" s="100" t="n">
        <x:f>D39+D40-D41+D42-D43-D44</x:f>
        <x:v>1191.5543712843983</x:v>
      </x:c>
      <x:c r="E45" s="100" t="n">
        <x:f>E39+E40-E41+E42-E43-E44</x:f>
        <x:v>1555.889179531745</x:v>
      </x:c>
      <x:c r="F45" s="100" t="n">
        <x:f>F39+F40-F41+F42-F43-F44</x:f>
        <x:v>1975.7714206151147</x:v>
      </x:c>
      <x:c r="G45" s="100" t="n">
        <x:f>G39+G40-G41+G42-G43-G44</x:f>
        <x:v>2355.3778188060633</x:v>
      </x:c>
      <x:c r="H45" s="100" t="n">
        <x:f>H39+H40-H41+H42-H43-H44</x:f>
        <x:v>2738.3006734111696</x:v>
      </x:c>
      <x:c r="I45" s="2"/>
      <x:c r="J45" s="2"/>
    </x:row>
    <x:row r="46" ht="24" customHeight="1">
      <x:c r="A46" s="2"/>
      <x:c r="B46" s="2" t="str">
        <x:v>Acquisition debt repayment</x:v>
      </x:c>
      <x:c r="C46" s="3"/>
      <x:c r="D46" s="28" t="n">
        <x:f>MIN(D19,MAX(D45,0)*'Deal inputs'!$C$40)</x:f>
        <x:v>1072.3989341559584</x:v>
      </x:c>
      <x:c r="E46" s="28" t="n">
        <x:f>MIN(E19,MAX(E45,0)*'Deal inputs'!$C$40)</x:f>
        <x:v>1400.3002615785706</x:v>
      </x:c>
      <x:c r="F46" s="28" t="n">
        <x:f>MIN(F19,MAX(F45,0)*'Deal inputs'!$C$40)</x:f>
        <x:v>1778.1942785536032</x:v>
      </x:c>
      <x:c r="G46" s="28" t="n">
        <x:f>MIN(G19,MAX(G45,0)*'Deal inputs'!$C$40)</x:f>
        <x:v>2119.840036925457</x:v>
      </x:c>
      <x:c r="H46" s="28" t="n">
        <x:f>MIN(H19,MAX(H45,0)*'Deal inputs'!$C$40)</x:f>
        <x:v>2464.470606070053</x:v>
      </x:c>
      <x:c r="I46" s="2"/>
      <x:c r="J46" s="2"/>
    </x:row>
    <x:row r="47" ht="24" customHeight="1">
      <x:c r="A47" s="2"/>
      <x:c r="B47" s="98" t="str">
        <x:v>Acquisition debt: closing balance</x:v>
      </x:c>
      <x:c r="C47" s="100"/>
      <x:c r="D47" s="100" t="n">
        <x:f>D19-D46</x:f>
        <x:v>14724.268028911598</x:v>
      </x:c>
      <x:c r="E47" s="100" t="n">
        <x:f>E19-E46</x:f>
        <x:v>13323.967767333028</x:v>
      </x:c>
      <x:c r="F47" s="100" t="n">
        <x:f>F19-F46</x:f>
        <x:v>11545.773488779425</x:v>
      </x:c>
      <x:c r="G47" s="100" t="n">
        <x:f>G19-G46</x:f>
        <x:v>9425.933451853969</x:v>
      </x:c>
      <x:c r="H47" s="100" t="n">
        <x:f>H19-H46</x:f>
        <x:v>6961.462845783916</x:v>
      </x:c>
      <x:c r="I47" s="2"/>
      <x:c r="J47" s="2"/>
    </x:row>
    <x:row r="48" ht="24" customHeight="1">
      <x:c r="A48" s="2"/>
      <x:c r="B48" s="2" t="str">
        <x:v>Liquidity: opening balance</x:v>
      </x:c>
      <x:c r="C48" s="3"/>
      <x:c r="D48" s="28" t="n">
        <x:f>'Sources and uses'!$C$46</x:f>
        <x:v>617.8895</x:v>
      </x:c>
      <x:c r="E48" s="3" t="n">
        <x:f>D50</x:f>
        <x:v>737.0449371284399</x:v>
      </x:c>
      <x:c r="F48" s="3" t="n">
        <x:f>E50</x:f>
        <x:v>892.6338550816142</x:v>
      </x:c>
      <x:c r="G48" s="3" t="n">
        <x:f>F50</x:f>
        <x:v>1090.2109971431257</x:v>
      </x:c>
      <x:c r="H48" s="3" t="n">
        <x:f>G50</x:f>
        <x:v>1325.7487790237321</x:v>
      </x:c>
      <x:c r="I48" s="2"/>
      <x:c r="J48" s="2"/>
    </x:row>
    <x:row r="49" ht="24" customHeight="1">
      <x:c r="A49" s="2"/>
      <x:c r="B49" s="2" t="str">
        <x:v>Net retained cash / (cash draw)</x:v>
      </x:c>
      <x:c r="C49" s="3"/>
      <x:c r="D49" s="3" t="n">
        <x:f>D45-D46</x:f>
        <x:v>119.15543712843987</x:v>
      </x:c>
      <x:c r="E49" s="3" t="n">
        <x:f>E45-E46</x:f>
        <x:v>155.58891795317436</x:v>
      </x:c>
      <x:c r="F49" s="3" t="n">
        <x:f>F45-F46</x:f>
        <x:v>197.5771420615115</x:v>
      </x:c>
      <x:c r="G49" s="3" t="n">
        <x:f>G45-G46</x:f>
        <x:v>235.53778188060642</x:v>
      </x:c>
      <x:c r="H49" s="3" t="n">
        <x:f>H45-H46</x:f>
        <x:v>273.8300673411168</x:v>
      </x:c>
      <x:c r="I49" s="2"/>
      <x:c r="J49" s="2"/>
    </x:row>
    <x:row r="50" ht="24" customHeight="1">
      <x:c r="A50" s="2"/>
      <x:c r="B50" s="98" t="str">
        <x:v>Liquidity: closing balance</x:v>
      </x:c>
      <x:c r="C50" s="100"/>
      <x:c r="D50" s="100" t="n">
        <x:f>D48+D49</x:f>
        <x:v>737.0449371284399</x:v>
      </x:c>
      <x:c r="E50" s="100" t="n">
        <x:f>E48+E49</x:f>
        <x:v>892.6338550816142</x:v>
      </x:c>
      <x:c r="F50" s="100" t="n">
        <x:f>F48+F49</x:f>
        <x:v>1090.2109971431257</x:v>
      </x:c>
      <x:c r="G50" s="100" t="n">
        <x:f>G48+G49</x:f>
        <x:v>1325.7487790237321</x:v>
      </x:c>
      <x:c r="H50" s="100" t="n">
        <x:f>H48+H49</x:f>
        <x:v>1599.578846364849</x:v>
      </x:c>
      <x:c r="I50" s="2"/>
      <x:c r="J50" s="2"/>
    </x:row>
    <x:row r="51" ht="24" customHeight="1">
      <x:c r="A51" s="2"/>
      <x:c r="B51" s="2" t="str">
        <x:v>Legacy borrowings (held constant)</x:v>
      </x:c>
      <x:c r="C51" s="3"/>
      <x:c r="D51" s="28" t="n">
        <x:f>'Sources and uses'!$C$42+'Sources and uses'!$C$43</x:f>
        <x:v>3039.8938000000003</x:v>
      </x:c>
      <x:c r="E51" s="28" t="n">
        <x:f>'Sources and uses'!$C$42+'Sources and uses'!$C$43</x:f>
        <x:v>3039.8938000000003</x:v>
      </x:c>
      <x:c r="F51" s="28" t="n">
        <x:f>'Sources and uses'!$C$42+'Sources and uses'!$C$43</x:f>
        <x:v>3039.8938000000003</x:v>
      </x:c>
      <x:c r="G51" s="28" t="n">
        <x:f>'Sources and uses'!$C$42+'Sources and uses'!$C$43</x:f>
        <x:v>3039.8938000000003</x:v>
      </x:c>
      <x:c r="H51" s="28" t="n">
        <x:f>'Sources and uses'!$C$42+'Sources and uses'!$C$43</x:f>
        <x:v>3039.8938000000003</x:v>
      </x:c>
      <x:c r="I51" s="2"/>
      <x:c r="J51" s="2"/>
    </x:row>
    <x:row r="52" ht="24" customHeight="1">
      <x:c r="A52" s="2"/>
      <x:c r="B52" s="2" t="str">
        <x:v>Total closing gross borrowings</x:v>
      </x:c>
      <x:c r="C52" s="3"/>
      <x:c r="D52" s="3" t="n">
        <x:f>D47+D51</x:f>
        <x:v>17764.161828911598</x:v>
      </x:c>
      <x:c r="E52" s="3" t="n">
        <x:f>E47+E51</x:f>
        <x:v>16363.861567333028</x:v>
      </x:c>
      <x:c r="F52" s="3" t="n">
        <x:f>F47+F51</x:f>
        <x:v>14585.667288779425</x:v>
      </x:c>
      <x:c r="G52" s="3" t="n">
        <x:f>G47+G51</x:f>
        <x:v>12465.827251853969</x:v>
      </x:c>
      <x:c r="H52" s="3" t="n">
        <x:f>H47+H51</x:f>
        <x:v>10001.356645783917</x:v>
      </x:c>
      <x:c r="I52" s="2"/>
      <x:c r="J52" s="2"/>
    </x:row>
    <x:row r="53" ht="24" customHeight="1">
      <x:c r="A53" s="2"/>
      <x:c r="B53" s="98" t="str">
        <x:v>Closing net debt / (net cash)</x:v>
      </x:c>
      <x:c r="C53" s="100"/>
      <x:c r="D53" s="100" t="n">
        <x:f>D52-D50</x:f>
        <x:v>17027.116891783156</x:v>
      </x:c>
      <x:c r="E53" s="100" t="n">
        <x:f>E52-E50</x:f>
        <x:v>15471.227712251413</x:v>
      </x:c>
      <x:c r="F53" s="100" t="n">
        <x:f>F52-F50</x:f>
        <x:v>13495.4562916363</x:v>
      </x:c>
      <x:c r="G53" s="100" t="n">
        <x:f>G52-G50</x:f>
        <x:v>11140.078472830237</x:v>
      </x:c>
      <x:c r="H53" s="100" t="n">
        <x:f>H52-H50</x:f>
        <x:v>8401.777799419067</x:v>
      </x:c>
      <x:c r="I53" s="2"/>
      <x:c r="J53" s="2"/>
    </x:row>
    <x:row r="54" ht="24" customHeight="1">
      <x:c r="A54" s="2"/>
      <x:c r="B54" s="2"/>
      <x:c r="C54" s="3"/>
      <x:c r="D54" s="3"/>
      <x:c r="E54" s="3"/>
      <x:c r="F54" s="3"/>
      <x:c r="G54" s="3"/>
      <x:c r="H54" s="3"/>
      <x:c r="I54" s="2"/>
      <x:c r="J54" s="2"/>
    </x:row>
    <x:row r="55" ht="27" customHeight="1">
      <x:c r="A55" s="2"/>
      <x:c r="B55" s="90" t="str">
        <x:v>LEVERAGE AND INTEREST COVER</x:v>
      </x:c>
      <x:c r="C55" s="102"/>
      <x:c r="D55" s="102"/>
      <x:c r="E55" s="102"/>
      <x:c r="F55" s="102"/>
      <x:c r="G55" s="102"/>
      <x:c r="H55" s="102"/>
      <x:c r="I55" s="2"/>
      <x:c r="J55" s="2"/>
    </x:row>
    <x:row r="56" ht="24" customHeight="1">
      <x:c r="A56" s="2"/>
      <x:c r="B56" s="2" t="str">
        <x:v>Combined EBITDA plus synergies</x:v>
      </x:c>
      <x:c r="C56" s="3"/>
      <x:c r="D56" s="28" t="n">
        <x:f>'Torrent forecast'!D18+'JB forecast'!D18+D22</x:f>
        <x:v>5318.231161144</x:v>
      </x:c>
      <x:c r="E56" s="28" t="n">
        <x:f>'Torrent forecast'!E18+'JB forecast'!E18+E22</x:f>
        <x:v>6014.431775731769</x:v>
      </x:c>
      <x:c r="F56" s="28" t="n">
        <x:f>'Torrent forecast'!F18+'JB forecast'!F18+F22</x:f>
        <x:v>6741.865098938466</x:v>
      </x:c>
      <x:c r="G56" s="28" t="n">
        <x:f>'Torrent forecast'!G18+'JB forecast'!G18+G22</x:f>
        <x:v>7472.6058193481385</x:v>
      </x:c>
      <x:c r="H56" s="28" t="n">
        <x:f>'Torrent forecast'!H18+'JB forecast'!H18+H22</x:f>
        <x:v>8155.417653566353</x:v>
      </x:c>
      <x:c r="I56" s="2"/>
      <x:c r="J56" s="2"/>
    </x:row>
    <x:row r="57" ht="24" customHeight="1">
      <x:c r="A57" s="2"/>
      <x:c r="B57" s="98" t="str">
        <x:v>Closing net debt / EBITDA (x)</x:v>
      </x:c>
      <x:c r="C57" s="100"/>
      <x:c r="D57" s="118" t="n">
        <x:f>D53/D56</x:f>
        <x:v>3.2016503938727756</x:v>
      </x:c>
      <x:c r="E57" s="118" t="n">
        <x:f>E53/E56</x:f>
        <x:v>2.572350687338048</x:v>
      </x:c>
      <x:c r="F57" s="118" t="n">
        <x:f>F53/F56</x:f>
        <x:v>2.0017392952228032</x:v>
      </x:c>
      <x:c r="G57" s="118" t="n">
        <x:f>G53/G56</x:f>
        <x:v>1.4907889887602856</x:v>
      </x:c>
      <x:c r="H57" s="118" t="n">
        <x:f>H53/H56</x:f>
        <x:v>1.030208158100276</x:v>
      </x:c>
      <x:c r="I57" s="2"/>
      <x:c r="J57" s="2"/>
    </x:row>
    <x:row r="58" ht="24" customHeight="1">
      <x:c r="A58" s="2"/>
      <x:c r="B58" s="2" t="str">
        <x:v>EBIT / borrowing interest (x)</x:v>
      </x:c>
      <x:c r="C58" s="3"/>
      <x:c r="D58" s="112" t="n">
        <x:f>(D7+D13+D22-D23-D29)/(D9+D15+D20)</x:f>
        <x:v>2.370969207842024</x:v>
      </x:c>
      <x:c r="E58" s="112" t="n">
        <x:f>(E7+E13+E22-E23-E29)/(E9+E15+E20)</x:f>
        <x:v>2.9756244930246427</x:v>
      </x:c>
      <x:c r="F58" s="112" t="n">
        <x:f>(F7+F13+F22-F23-F29)/(F9+F15+F20)</x:f>
        <x:v>3.794316894384609</x:v>
      </x:c>
      <x:c r="G58" s="112" t="n">
        <x:f>(G7+G13+G22-G23-G29)/(G9+G15+G20)</x:f>
        <x:v>4.798522521878155</x:v>
      </x:c>
      <x:c r="H58" s="112" t="n">
        <x:f>(H7+H13+H22-H23-H29)/(H9+H15+H20)</x:f>
        <x:v>6.214412247533957</x:v>
      </x:c>
      <x:c r="I58" s="2"/>
      <x:c r="J58" s="2"/>
    </x:row>
    <x:row r="59" ht="24" customHeight="1">
      <x:c r="A59" s="2"/>
      <x:c r="B59" s="2"/>
      <x:c r="C59" s="3"/>
      <x:c r="D59" s="3"/>
      <x:c r="E59" s="3"/>
      <x:c r="F59" s="3"/>
      <x:c r="G59" s="3"/>
      <x:c r="H59" s="3"/>
      <x:c r="I59" s="2"/>
      <x:c r="J59" s="2"/>
    </x:row>
    <x:row r="60" ht="27" customHeight="1">
      <x:c r="A60" s="2"/>
      <x:c r="B60" s="90" t="str">
        <x:v>RECONCILIATIONS</x:v>
      </x:c>
      <x:c r="C60" s="102"/>
      <x:c r="D60" s="102"/>
      <x:c r="E60" s="102"/>
      <x:c r="F60" s="102"/>
      <x:c r="G60" s="102"/>
      <x:c r="H60" s="102"/>
      <x:c r="I60" s="2"/>
      <x:c r="J60" s="2"/>
    </x:row>
    <x:row r="61" ht="24" customHeight="1">
      <x:c r="A61" s="2"/>
      <x:c r="B61" s="2" t="str">
        <x:v>Debt roll-forward difference</x:v>
      </x:c>
      <x:c r="C61" s="3"/>
      <x:c r="D61" s="121" t="n">
        <x:f>D19-D46-D47</x:f>
        <x:v>0</x:v>
      </x:c>
      <x:c r="E61" s="121" t="n">
        <x:f>E19-E46-E47</x:f>
        <x:v>0</x:v>
      </x:c>
      <x:c r="F61" s="121" t="n">
        <x:f>F19-F46-F47</x:f>
        <x:v>0</x:v>
      </x:c>
      <x:c r="G61" s="121" t="n">
        <x:f>G19-G46-G47</x:f>
        <x:v>0</x:v>
      </x:c>
      <x:c r="H61" s="121" t="n">
        <x:f>H19-H46-H47</x:f>
        <x:v>0</x:v>
      </x:c>
      <x:c r="I61" s="2"/>
      <x:c r="J61" s="2"/>
    </x:row>
    <x:row r="62" ht="24" customHeight="1">
      <x:c r="A62" s="2"/>
      <x:c r="B62" s="2" t="str">
        <x:v>Cash roll-forward difference</x:v>
      </x:c>
      <x:c r="C62" s="3"/>
      <x:c r="D62" s="121" t="n">
        <x:f>D48+D45-D46-D50</x:f>
        <x:v>0</x:v>
      </x:c>
      <x:c r="E62" s="121" t="n">
        <x:f>E48+E45-E46-E50</x:f>
        <x:v>0</x:v>
      </x:c>
      <x:c r="F62" s="121" t="n">
        <x:f>F48+F45-F46-F50</x:f>
        <x:v>0</x:v>
      </x:c>
      <x:c r="G62" s="121" t="n">
        <x:f>G48+G45-G46-G50</x:f>
        <x:v>-2.2737367544323206e-13</x:v>
      </x:c>
      <x:c r="H62" s="121" t="n">
        <x:f>H48+H45-H46-H50</x:f>
        <x:v>-2.2737367544323206e-13</x:v>
      </x:c>
      <x:c r="I62" s="2"/>
      <x:c r="J62" s="2"/>
    </x:row>
    <x:row r="63" ht="24" customHeight="1">
      <x:c r="A63" s="2"/>
      <x:c r="B63" s="2" t="str">
        <x:v>Negative closing liquidity (issue)</x:v>
      </x:c>
      <x:c r="C63" s="3"/>
      <x:c r="D63" s="121" t="n">
        <x:f>MAX(-D50,0)</x:f>
        <x:v>0</x:v>
      </x:c>
      <x:c r="E63" s="121" t="n">
        <x:f>MAX(-E50,0)</x:f>
        <x:v>0</x:v>
      </x:c>
      <x:c r="F63" s="121" t="n">
        <x:f>MAX(-F50,0)</x:f>
        <x:v>0</x:v>
      </x:c>
      <x:c r="G63" s="121" t="n">
        <x:f>MAX(-G50,0)</x:f>
        <x:v>0</x:v>
      </x:c>
      <x:c r="H63" s="121" t="n">
        <x:f>MAX(-H50,0)</x:f>
        <x:v>0</x:v>
      </x:c>
      <x:c r="I63" s="2"/>
      <x:c r="J63" s="2"/>
    </x:row>
    <x:row r="64" ht="24" customHeight="1">
      <x:c r="A64" s="2"/>
      <x:c r="B64" s="2" t="str">
        <x:v>PAT bridge difference</x:v>
      </x:c>
      <x:c r="C64" s="3"/>
      <x:c r="D64" s="121" t="n">
        <x:f>D31-(D10+D16+D22-D20-D23-D24-D25+D26-D27-D29+D30)</x:f>
        <x:v>0</x:v>
      </x:c>
      <x:c r="E64" s="121" t="n">
        <x:f>E31-(E10+E16+E22-E20-E23-E24-E25+E26-E27-E29+E30)</x:f>
        <x:v>0</x:v>
      </x:c>
      <x:c r="F64" s="121" t="n">
        <x:f>F31-(F10+F16+F22-F20-F23-F24-F25+F26-F27-F29+F30)</x:f>
        <x:v>0</x:v>
      </x:c>
      <x:c r="G64" s="121" t="n">
        <x:f>G31-(G10+G16+G22-G20-G23-G24-G25+G26-G27-G29+G30)</x:f>
        <x:v>0</x:v>
      </x:c>
      <x:c r="H64" s="121" t="n">
        <x:f>H31-(H10+H16+H22-H20-H23-H24-H25+H26-H27-H29+H30)</x:f>
        <x:v>0</x:v>
      </x:c>
      <x:c r="I64" s="2"/>
      <x:c r="J64" s="2"/>
    </x:row>
    <x:row r="65" ht="24" customHeight="1">
      <x:c r="A65" s="2"/>
      <x:c r="B65" s="2"/>
      <x:c r="C65" s="3"/>
      <x:c r="D65" s="3"/>
      <x:c r="E65" s="3"/>
      <x:c r="F65" s="3"/>
      <x:c r="G65" s="3"/>
      <x:c r="H65" s="3"/>
      <x:c r="I65" s="2"/>
      <x:c r="J65" s="2"/>
    </x:row>
    <x:row r="66" ht="45" customHeight="1">
      <x:c r="A66" s="2"/>
      <x:c r="B66" s="86" t="str">
        <x:v>Timing is illustrative: the cash acquisition and merger are both assumed complete on day one of FY26E. FY26E is the first full pro forma year, not a prediction of statutory reported FY26 earnings.</x:v>
      </x:c>
      <x:c r="C66" s="103"/>
      <x:c r="D66" s="103"/>
      <x:c r="E66" s="103"/>
      <x:c r="F66" s="103"/>
      <x:c r="G66" s="103"/>
      <x:c r="H66" s="103"/>
      <x:c r="I66" s="2"/>
      <x:c r="J66" s="2"/>
    </x:row>
    <x:row r="67" ht="49" customHeight="1">
      <x:c r="A67" s="2"/>
      <x:c r="B67" s="86" t="str">
        <x:v>Standalone PAT is estimated from Step 3 EBIT, FY25 other income held flat, normalised interest on unchanged legacy debt, and each company’s operating tax rate. This is a static financing benchmark, not a standalone cash/debt forecast.</x:v>
      </x:c>
      <x:c r="C67" s="103"/>
      <x:c r="D67" s="103"/>
      <x:c r="E67" s="103"/>
      <x:c r="F67" s="103"/>
      <x:c r="G67" s="103"/>
      <x:c r="H67" s="103"/>
      <x:c r="I67" s="2"/>
      <x:c r="J67" s="2"/>
    </x:row>
    <x:row r="68" ht="44" customHeight="1">
      <x:c r="A68" s="2"/>
      <x:c r="B68" s="86" t="str">
        <x:v>Debt interest uses opening annual acquisition debt. Repayment occurs at year-end, avoiding circular interest / repayment formulas. No refinancing, mandatory amortisation, covenant or interest-deduction limit is modelled.</x:v>
      </x:c>
      <x:c r="C68" s="103"/>
      <x:c r="D68" s="103"/>
      <x:c r="E68" s="103"/>
      <x:c r="F68" s="103"/>
      <x:c r="G68" s="103"/>
      <x:c r="H68" s="103"/>
      <x:c r="I68" s="2"/>
      <x:c r="J68" s="2"/>
    </x:row>
    <x:row r="69" ht="48" customHeight="1">
      <x:c r="A69" s="2"/>
      <x:c r="B69" s="86" t="str">
        <x:v>The cash bridge starts with unlevered FCF, then adds after-tax other income, deducts after-tax borrowing costs, integration, dividends and a lease allowance. Closing transaction / financing fees are not paid twice.</x:v>
      </x:c>
      <x:c r="C69" s="103"/>
      <x:c r="D69" s="103"/>
      <x:c r="E69" s="103"/>
      <x:c r="F69" s="103"/>
      <x:c r="G69" s="103"/>
      <x:c r="H69" s="103"/>
      <x:c r="I69" s="2"/>
      <x:c r="J69" s="2"/>
    </x:row>
    <x:row r="70" ht="49" customHeight="1">
      <x:c r="A70" s="2"/>
      <x:c r="B70" s="86" t="str">
        <x:v>PAT before incremental PPA amortisation adds back only the new intangible charge. It retains legacy D&amp;A, integration expenses and fees; it is not a cash-flow measure. PPA uplift and tax effects are estimates, not final acquisition accounting.</x:v>
      </x:c>
      <x:c r="C70" s="103"/>
      <x:c r="D70" s="103"/>
      <x:c r="E70" s="103"/>
      <x:c r="F70" s="103"/>
      <x:c r="G70" s="103"/>
      <x:c r="H70" s="103"/>
      <x:c r="I70" s="2"/>
      <x:c r="J70" s="2"/>
    </x:row>
    <x:row r="71" ht="44" customHeight="1">
      <x:c r="A71" s="2"/>
      <x:c r="B71" s="86" t="str">
        <x:v>Cash flow includes only trade working capital. FY25 other income is treated as a recurring cash proxy; detailed noncash items, leases and other operating balances need refinement. Negative net debt denotes modelled net cash.</x:v>
      </x:c>
      <x:c r="C71" s="103"/>
      <x:c r="D71" s="103"/>
      <x:c r="E71" s="103"/>
      <x:c r="F71" s="103"/>
      <x:c r="G71" s="103"/>
      <x:c r="H71" s="10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sheetData>
  <x:mergeCells>
    <x:mergeCell ref="B2:H2"/>
    <x:mergeCell ref="B3:H3"/>
    <x:mergeCell ref="B6:H6"/>
    <x:mergeCell ref="B18:H18"/>
    <x:mergeCell ref="B38:H38"/>
    <x:mergeCell ref="B55:H55"/>
    <x:mergeCell ref="B60:H60"/>
    <x:mergeCell ref="B66:H66"/>
    <x:mergeCell ref="B67:H67"/>
    <x:mergeCell ref="B68:H68"/>
    <x:mergeCell ref="B69:H69"/>
    <x:mergeCell ref="B70:H70"/>
    <x:mergeCell ref="B71:H71"/>
  </x:mergeCells>
  <x:conditionalFormatting sqref="D61:H64">
    <x:cfRule type="cellIs" dxfId="5" priority="1" operator="notBetween">
      <x:formula>-0.0001</x:formula>
      <x:formula>0.0001</x:formula>
    </x:cfRule>
  </x:conditionalFormatting>
  <x:pageMargins left="0.7" right="0.7" top="0.75" bottom="0.75" header="0.3" footer="0.3"/>
</x:worksheet>
</file>

<file path=xl/worksheets/sheet15.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Torrent × JB — final valuation review</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x:c r="E5" s="2"/>
      <x:c r="F5" s="2"/>
      <x:c r="G5" s="2"/>
      <x:c r="H5" s="2"/>
      <x:c r="I5" s="2"/>
      <x:c r="J5" s="2"/>
    </x:row>
    <x:row r="6" ht="27" customHeight="1">
      <x:c r="A6" s="2"/>
      <x:c r="B6" s="137" t="str">
        <x:v>STANDALONE VALUATIONS</x:v>
      </x:c>
      <x:c r="C6" s="137"/>
      <x:c r="D6" s="137"/>
      <x:c r="E6" s="137"/>
      <x:c r="F6" s="137"/>
      <x:c r="G6" s="137"/>
      <x:c r="H6" s="137"/>
      <x:c r="I6" s="2"/>
      <x:c r="J6" s="2"/>
    </x:row>
    <x:row r="7" ht="24" customHeight="1">
      <x:c r="A7" s="2"/>
      <x:c r="B7" s="2"/>
      <x:c r="C7" s="3"/>
      <x:c r="D7" s="3" t="str">
        <x:v>Torrent</x:v>
      </x:c>
      <x:c r="E7" s="3" t="str">
        <x:v>JB</x:v>
      </x:c>
      <x:c r="F7" s="3"/>
      <x:c r="G7" s="3"/>
      <x:c r="H7" s="3"/>
      <x:c r="I7" s="2"/>
      <x:c r="J7" s="2"/>
    </x:row>
    <x:row r="8" ht="24" customHeight="1">
      <x:c r="A8" s="2"/>
      <x:c r="B8" s="2" t="str">
        <x:v>Calculated WACC</x:v>
      </x:c>
      <x:c r="C8" s="3"/>
      <x:c r="D8" s="29" t="n">
        <x:f>'Torrent DCF'!D28</x:f>
        <x:v>0.115358338407673</x:v>
      </x:c>
      <x:c r="E8" s="29" t="n">
        <x:f>'JB DCF'!D28</x:f>
        <x:v>0.11556167432500525</x:v>
      </x:c>
      <x:c r="F8" s="3"/>
      <x:c r="G8" s="3"/>
      <x:c r="H8" s="3"/>
      <x:c r="I8" s="2"/>
      <x:c r="J8" s="2"/>
    </x:row>
    <x:row r="9" ht="24" customHeight="1">
      <x:c r="A9" s="2"/>
      <x:c r="B9" s="2" t="str">
        <x:v>Terminal growth</x:v>
      </x:c>
      <x:c r="C9" s="3"/>
      <x:c r="D9" s="29" t="n">
        <x:f>'Torrent DCF'!D29</x:f>
        <x:v>0.04</x:v>
      </x:c>
      <x:c r="E9" s="29" t="n">
        <x:f>'JB DCF'!D29</x:f>
        <x:v>0.04</x:v>
      </x:c>
      <x:c r="F9" s="3"/>
      <x:c r="G9" s="3"/>
      <x:c r="H9" s="3"/>
      <x:c r="I9" s="2"/>
      <x:c r="J9" s="2"/>
    </x:row>
    <x:row r="10" ht="24" customHeight="1">
      <x:c r="A10" s="2"/>
      <x:c r="B10" s="2" t="str">
        <x:v>Terminal return on invested capital</x:v>
      </x:c>
      <x:c r="C10" s="3"/>
      <x:c r="D10" s="29" t="n">
        <x:f>'Torrent DCF'!D30</x:f>
        <x:v>0.15</x:v>
      </x:c>
      <x:c r="E10" s="29" t="n">
        <x:f>'JB DCF'!D30</x:f>
        <x:v>0.15</x:v>
      </x:c>
      <x:c r="F10" s="3"/>
      <x:c r="G10" s="3"/>
      <x:c r="H10" s="3"/>
      <x:c r="I10" s="2"/>
      <x:c r="J10" s="2"/>
    </x:row>
    <x:row r="11" ht="24" customHeight="1">
      <x:c r="A11" s="2"/>
      <x:c r="B11" s="162" t="str">
        <x:v>Enterprise value</x:v>
      </x:c>
      <x:c r="C11" s="155"/>
      <x:c r="D11" s="155" t="n">
        <x:f>'Torrent DCF'!D38</x:f>
        <x:v>32033.66114054169</x:v>
      </x:c>
      <x:c r="E11" s="155" t="n">
        <x:f>'JB DCF'!D38</x:f>
        <x:v>10253.787458672992</x:v>
      </x:c>
      <x:c r="F11" s="155"/>
      <x:c r="G11" s="155"/>
      <x:c r="H11" s="155"/>
      <x:c r="I11" s="2"/>
      <x:c r="J11" s="2"/>
    </x:row>
    <x:row r="12" ht="24" customHeight="1">
      <x:c r="A12" s="2"/>
      <x:c r="B12" s="162" t="str">
        <x:v>Equity value</x:v>
      </x:c>
      <x:c r="C12" s="155"/>
      <x:c r="D12" s="155" t="n">
        <x:f>'Torrent DCF'!D49</x:f>
        <x:v>29593.26114054169</x:v>
      </x:c>
      <x:c r="E12" s="155" t="n">
        <x:f>'JB DCF'!D49</x:f>
        <x:v>10622.183158672993</x:v>
      </x:c>
      <x:c r="F12" s="155"/>
      <x:c r="G12" s="155"/>
      <x:c r="H12" s="155"/>
      <x:c r="I12" s="2"/>
      <x:c r="J12" s="2"/>
    </x:row>
    <x:row r="13" ht="24" customHeight="1">
      <x:c r="A13" s="2"/>
      <x:c r="B13" s="162" t="str">
        <x:v>Value per share (INR)</x:v>
      </x:c>
      <x:c r="C13" s="155"/>
      <x:c r="D13" s="165" t="n">
        <x:f>'Torrent DCF'!D51</x:f>
        <x:v>874.3879409497049</x:v>
      </x:c>
      <x:c r="E13" s="165" t="n">
        <x:f>'JB DCF'!D51</x:f>
        <x:v>661.5762809319723</x:v>
      </x:c>
      <x:c r="F13" s="155"/>
      <x:c r="G13" s="155"/>
      <x:c r="H13" s="155"/>
      <x:c r="I13" s="2"/>
      <x:c r="J13" s="2"/>
    </x:row>
    <x:row r="14" ht="24" customHeight="1">
      <x:c r="A14" s="2"/>
      <x:c r="B14" s="2" t="str">
        <x:v>PV of terminal value / enterprise value</x:v>
      </x:c>
      <x:c r="C14" s="3"/>
      <x:c r="D14" s="29" t="n">
        <x:f>'Torrent DCF'!D39</x:f>
        <x:v>0.6770079138744394</x:v>
      </x:c>
      <x:c r="E14" s="29" t="n">
        <x:f>'JB DCF'!D39</x:f>
        <x:v>0.6973448039238874</x:v>
      </x:c>
      <x:c r="F14" s="3"/>
      <x:c r="G14" s="3"/>
      <x:c r="H14" s="3"/>
      <x:c r="I14" s="2"/>
      <x:c r="J14" s="2"/>
    </x:row>
    <x:row r="15" ht="24" customHeight="1">
      <x:c r="A15" s="2"/>
      <x:c r="B15" s="2"/>
      <x:c r="C15" s="3"/>
      <x:c r="D15" s="3"/>
      <x:c r="E15" s="3"/>
      <x:c r="F15" s="3"/>
      <x:c r="G15" s="3"/>
      <x:c r="H15" s="3"/>
      <x:c r="I15" s="2"/>
      <x:c r="J15" s="2"/>
    </x:row>
    <x:row r="16" ht="27" customHeight="1">
      <x:c r="A16" s="2"/>
      <x:c r="B16" s="137" t="str">
        <x:v>JB PURCHASE-PRICE BENCHMARK AND SYNERGIES</x:v>
      </x:c>
      <x:c r="C16" s="141"/>
      <x:c r="D16" s="141"/>
      <x:c r="E16" s="141"/>
      <x:c r="F16" s="141"/>
      <x:c r="G16" s="141"/>
      <x:c r="H16" s="141"/>
      <x:c r="I16" s="2"/>
      <x:c r="J16" s="2"/>
    </x:row>
    <x:row r="17" ht="24" customHeight="1">
      <x:c r="A17" s="2"/>
      <x:c r="B17" s="2" t="str">
        <x:v>100% equity benchmark at INR 1,600</x:v>
      </x:c>
      <x:c r="C17" s="3"/>
      <x:c r="D17" s="3" t="n">
        <x:f>'Synergy valuation'!D39</x:f>
        <x:v>25689.392959999997</x:v>
      </x:c>
      <x:c r="E17" s="3"/>
      <x:c r="F17" s="3"/>
      <x:c r="G17" s="3"/>
      <x:c r="H17" s="3"/>
      <x:c r="I17" s="2"/>
      <x:c r="J17" s="2"/>
    </x:row>
    <x:row r="18" ht="24" customHeight="1">
      <x:c r="A18" s="2"/>
      <x:c r="B18" s="2" t="str">
        <x:v>JB standalone DCF equity value</x:v>
      </x:c>
      <x:c r="C18" s="3"/>
      <x:c r="D18" s="3" t="n">
        <x:f>'Synergy valuation'!D40</x:f>
        <x:v>10622.183158672993</x:v>
      </x:c>
      <x:c r="E18" s="3"/>
      <x:c r="F18" s="3"/>
      <x:c r="G18" s="3"/>
      <x:c r="H18" s="3"/>
      <x:c r="I18" s="2"/>
      <x:c r="J18" s="2"/>
    </x:row>
    <x:row r="19" ht="24" customHeight="1">
      <x:c r="A19" s="2"/>
      <x:c r="B19" s="162" t="str">
        <x:v>Benchmark premium to standalone value</x:v>
      </x:c>
      <x:c r="C19" s="155"/>
      <x:c r="D19" s="155" t="n">
        <x:f>'Synergy valuation'!D41</x:f>
        <x:v>15067.209801327004</x:v>
      </x:c>
      <x:c r="E19" s="155"/>
      <x:c r="F19" s="155"/>
      <x:c r="G19" s="155"/>
      <x:c r="H19" s="155"/>
      <x:c r="I19" s="2"/>
      <x:c r="J19" s="2"/>
    </x:row>
    <x:row r="20" ht="24" customHeight="1">
      <x:c r="A20" s="2"/>
      <x:c r="B20" s="162" t="str">
        <x:v>Net expected synergy value</x:v>
      </x:c>
      <x:c r="C20" s="155"/>
      <x:c r="D20" s="155" t="n">
        <x:f>'Synergy valuation'!D32</x:f>
        <x:v>564.2143290019492</x:v>
      </x:c>
      <x:c r="E20" s="155"/>
      <x:c r="F20" s="155"/>
      <x:c r="G20" s="155"/>
      <x:c r="H20" s="155"/>
      <x:c r="I20" s="2"/>
      <x:c r="J20" s="2"/>
    </x:row>
    <x:row r="21" ht="24" customHeight="1">
      <x:c r="A21" s="2"/>
      <x:c r="B21" s="162" t="str">
        <x:v>Premium not covered by synergies</x:v>
      </x:c>
      <x:c r="C21" s="155"/>
      <x:c r="D21" s="155" t="n">
        <x:f>'Synergy valuation'!D43</x:f>
        <x:v>14502.995472325056</x:v>
      </x:c>
      <x:c r="E21" s="155"/>
      <x:c r="F21" s="155"/>
      <x:c r="G21" s="155"/>
      <x:c r="H21" s="155"/>
      <x:c r="I21" s="2"/>
      <x:c r="J21" s="2"/>
    </x:row>
    <x:row r="22" ht="24" customHeight="1">
      <x:c r="A22" s="2"/>
      <x:c r="B22" s="2" t="str">
        <x:v>Break-even annual pre-tax savings</x:v>
      </x:c>
      <x:c r="C22" s="3"/>
      <x:c r="D22" s="3" t="n">
        <x:f>'Synergy valuation'!D44</x:f>
        <x:v>6392.352132570202</x:v>
      </x:c>
      <x:c r="E22" s="3"/>
      <x:c r="F22" s="3"/>
      <x:c r="G22" s="3"/>
      <x:c r="H22" s="3"/>
      <x:c r="I22" s="2"/>
      <x:c r="J22" s="2"/>
    </x:row>
    <x:row r="23" ht="24" customHeight="1">
      <x:c r="A23" s="2"/>
      <x:c r="B23" s="2"/>
      <x:c r="C23" s="3"/>
      <x:c r="D23" s="3"/>
      <x:c r="E23" s="3"/>
      <x:c r="F23" s="3"/>
      <x:c r="G23" s="3"/>
      <x:c r="H23" s="3"/>
      <x:c r="I23" s="2"/>
      <x:c r="J23" s="2"/>
    </x:row>
    <x:row r="24" ht="27" customHeight="1">
      <x:c r="A24" s="2"/>
      <x:c r="B24" s="137" t="str">
        <x:v>SELECTED CASH / SHARE MIX — INTRINSIC VALUE TEST</x:v>
      </x:c>
      <x:c r="C24" s="141"/>
      <x:c r="D24" s="141"/>
      <x:c r="E24" s="141"/>
      <x:c r="F24" s="141"/>
      <x:c r="G24" s="141"/>
      <x:c r="H24" s="141"/>
      <x:c r="I24" s="2"/>
      <x:c r="J24" s="2"/>
    </x:row>
    <x:row r="25" ht="24" customHeight="1">
      <x:c r="A25" s="2"/>
      <x:c r="B25" s="2" t="str">
        <x:v>Purchase cash plus fees</x:v>
      </x:c>
      <x:c r="C25" s="3"/>
      <x:c r="D25" s="3" t="n">
        <x:f>'Synergy valuation'!D50+'Synergy valuation'!D51</x:f>
        <x:v>16296.666963067557</x:v>
      </x:c>
      <x:c r="E25" s="3"/>
      <x:c r="F25" s="3"/>
      <x:c r="G25" s="3"/>
      <x:c r="H25" s="3"/>
      <x:c r="I25" s="2"/>
      <x:c r="J25" s="2"/>
    </x:row>
    <x:row r="26" ht="24" customHeight="1">
      <x:c r="A26" s="2"/>
      <x:c r="B26" s="2" t="str">
        <x:v>Pro forma shares (crore)</x:v>
      </x:c>
      <x:c r="C26" s="3"/>
      <x:c r="D26" s="159" t="n">
        <x:f>'Synergy valuation'!D53</x:f>
        <x:v>36.940487423</x:v>
      </x:c>
      <x:c r="E26" s="3"/>
      <x:c r="F26" s="3"/>
      <x:c r="G26" s="3"/>
      <x:c r="H26" s="3"/>
      <x:c r="I26" s="2"/>
      <x:c r="J26" s="2"/>
    </x:row>
    <x:row r="27" ht="24" customHeight="1">
      <x:c r="A27" s="2"/>
      <x:c r="B27" s="2" t="str">
        <x:v>Combined fair value per share (INR)</x:v>
      </x:c>
      <x:c r="C27" s="3"/>
      <x:c r="D27" s="14" t="n">
        <x:f>'Synergy valuation'!D54</x:f>
        <x:v>662.7685061325261</x:v>
      </x:c>
      <x:c r="E27" s="3"/>
      <x:c r="F27" s="3"/>
      <x:c r="G27" s="3"/>
      <x:c r="H27" s="3"/>
      <x:c r="I27" s="2"/>
      <x:c r="J27" s="2"/>
    </x:row>
    <x:row r="28" ht="24" customHeight="1">
      <x:c r="A28" s="2"/>
      <x:c r="B28" s="162" t="str">
        <x:v>Change in old Torrent holders’ value</x:v>
      </x:c>
      <x:c r="C28" s="155"/>
      <x:c r="D28" s="155" t="n">
        <x:f>'Synergy valuation'!D57</x:f>
        <x:v>-7162.16327292514</x:v>
      </x:c>
      <x:c r="E28" s="155"/>
      <x:c r="F28" s="155"/>
      <x:c r="G28" s="155"/>
      <x:c r="H28" s="155"/>
      <x:c r="I28" s="2"/>
      <x:c r="J28" s="2"/>
    </x:row>
    <x:row r="29" ht="24" customHeight="1">
      <x:c r="A29" s="2"/>
      <x:c r="B29" s="2" t="str">
        <x:v>Change / standalone Torrent equity</x:v>
      </x:c>
      <x:c r="C29" s="3"/>
      <x:c r="D29" s="29" t="n">
        <x:f>'Synergy valuation'!D58</x:f>
        <x:v>-0.24202007473631343</x:v>
      </x:c>
      <x:c r="E29" s="3"/>
      <x:c r="F29" s="3"/>
      <x:c r="G29" s="3"/>
      <x:c r="H29" s="3"/>
      <x:c r="I29" s="2"/>
      <x:c r="J29" s="2"/>
    </x:row>
    <x:row r="30" ht="24" customHeight="1">
      <x:c r="A30" s="2"/>
      <x:c r="B30" s="2"/>
      <x:c r="C30" s="3"/>
      <x:c r="D30" s="3"/>
      <x:c r="E30" s="3"/>
      <x:c r="F30" s="3"/>
      <x:c r="G30" s="3"/>
      <x:c r="H30" s="3"/>
      <x:c r="I30" s="2"/>
      <x:c r="J30" s="2"/>
    </x:row>
    <x:row r="31" ht="27" customHeight="1">
      <x:c r="A31" s="2"/>
      <x:c r="B31" s="137" t="str">
        <x:v>HOW TO READ THE RESULT</x:v>
      </x:c>
      <x:c r="C31" s="141"/>
      <x:c r="D31" s="141"/>
      <x:c r="E31" s="141"/>
      <x:c r="F31" s="141"/>
      <x:c r="G31" s="141"/>
      <x:c r="H31" s="141"/>
      <x:c r="I31" s="2"/>
      <x:c r="J31" s="2"/>
    </x:row>
    <x:row r="32" ht="44" customHeight="1">
      <x:c r="A32" s="2"/>
      <x:c r="B32" s="86" t="str">
        <x:v>Open Valuation inputs to review WACC, terminal growth and ROIC. Assumptions!C4 remains the operating-case selector. Deal inputs!C4 controls the cash/share mix; it does not change either standalone DCF.</x:v>
      </x:c>
      <x:c r="C32" s="103"/>
      <x:c r="D32" s="103"/>
      <x:c r="E32" s="103"/>
      <x:c r="F32" s="103"/>
      <x:c r="G32" s="103"/>
      <x:c r="H32" s="103"/>
      <x:c r="I32" s="2"/>
      <x:c r="J32" s="2"/>
    </x:row>
    <x:row r="33" ht="44" customHeight="1">
      <x:c r="A33" s="2"/>
      <x:c r="B33" s="86" t="str">
        <x:v>Each company DCF includes a live 5 × 5 WACC / growth grid. It uses the active operating forecast and recalculates terminal reinvestment. Green highlighted centre values equal the main valuation.</x:v>
      </x:c>
      <x:c r="C33" s="103"/>
      <x:c r="D33" s="103"/>
      <x:c r="E33" s="103"/>
      <x:c r="F33" s="103"/>
      <x:c r="G33" s="103"/>
      <x:c r="H33" s="103"/>
      <x:c r="I33" s="2"/>
      <x:c r="J33" s="2"/>
    </x:row>
    <x:row r="34" ht="48" customHeight="1">
      <x:c r="A34" s="2"/>
      <x:c r="B34" s="86" t="str">
        <x:v>Synergy valuation has two distinct tests: the INR 1,600 full-equity benchmark and value attributable to existing Torrent holders under the selected cash/share mix. These are not interchangeable purchase-price measures.</x:v>
      </x:c>
      <x:c r="C34" s="103"/>
      <x:c r="D34" s="103"/>
      <x:c r="E34" s="103"/>
      <x:c r="F34" s="103"/>
      <x:c r="G34" s="103"/>
      <x:c r="H34" s="103"/>
      <x:c r="I34" s="2"/>
      <x:c r="J34" s="2"/>
    </x:row>
    <x:row r="35" ht="48" customHeight="1">
      <x:c r="A35" s="2"/>
      <x:c r="B35" s="86" t="str">
        <x:v>Case conclusion: strategic fit is credible, but the selected operating and valuation assumptions do not support the purchase benchmark. The growth extension and reverse test quantify the remaining gap. See the final report for the investment recommendation.</x:v>
      </x:c>
      <x:c r="C35" s="103"/>
      <x:c r="D35" s="103"/>
      <x:c r="E35" s="103"/>
      <x:c r="F35" s="103"/>
      <x:c r="G35" s="103"/>
      <x:c r="H35" s="103"/>
      <x:c r="I35" s="2"/>
      <x:c r="J35" s="2"/>
    </x:row>
    <x:row r="36" ht="48" customHeight="1">
      <x:c r="A36" s="2"/>
      <x:c r="B36" s="86" t="str">
        <x:v>WACC uses dated government-yield, country-risk and sector-beta data. Financing, long-run capital weights, terminal returns and synergies remain assumptions. Annual-report detail includes later historical reconciliations; no FY26 actual outcomes drive forecasts.</x:v>
      </x:c>
      <x:c r="C36" s="103"/>
      <x:c r="D36" s="103"/>
      <x:c r="E36" s="103"/>
      <x:c r="F36" s="103"/>
      <x:c r="G36" s="103"/>
      <x:c r="H36" s="103"/>
      <x:c r="I36" s="2"/>
      <x:c r="J36" s="2"/>
    </x:row>
    <x:row r="37" ht="24" customHeight="1">
      <x:c r="A37" s="2"/>
      <x:c r="B37" s="2"/>
      <x:c r="C37" s="3"/>
      <x:c r="D37" s="3"/>
      <x:c r="E37" s="3"/>
      <x:c r="F37" s="3"/>
      <x:c r="G37" s="3"/>
      <x:c r="H37" s="3"/>
      <x:c r="I37" s="2"/>
      <x:c r="J37" s="2"/>
    </x:row>
    <x:row r="38" ht="26" customHeight="1">
      <x:c r="A38" s="2"/>
      <x:c r="B38" s="173" t="str">
        <x:v>JB LONGER GROWTH HORIZON</x:v>
      </x:c>
      <x:c r="C38" s="174"/>
      <x:c r="D38" s="174"/>
      <x:c r="E38" s="174"/>
      <x:c r="F38" s="174"/>
      <x:c r="G38" s="174"/>
      <x:c r="H38" s="174"/>
      <x:c r="I38" s="2"/>
      <x:c r="J38" s="2"/>
    </x:row>
    <x:row r="39" ht="24" customHeight="1">
      <x:c r="A39" s="2"/>
      <x:c r="B39" s="195" t="str">
        <x:v>Extended JB value per share (INR)</x:v>
      </x:c>
      <x:c r="C39" s="197"/>
      <x:c r="D39" s="209" t="n">
        <x:f>'JB growth test'!D31</x:f>
        <x:v>711.4723371352287</x:v>
      </x:c>
      <x:c r="E39" s="197"/>
      <x:c r="F39" s="197"/>
      <x:c r="G39" s="197"/>
      <x:c r="H39" s="197"/>
      <x:c r="I39" s="2"/>
      <x:c r="J39" s="2"/>
    </x:row>
    <x:row r="40" ht="24" customHeight="1">
      <x:c r="A40" s="2"/>
      <x:c r="B40" s="2" t="str">
        <x:v>Required FY30 EBIT margin at price</x:v>
      </x:c>
      <x:c r="C40" s="3"/>
      <x:c r="D40" s="29" t="n">
        <x:f>'JB growth test'!D46</x:f>
        <x:v>0.6973654315409266</x:v>
      </x:c>
      <x:c r="E40" s="3"/>
      <x:c r="F40" s="3"/>
      <x:c r="G40" s="3"/>
      <x:c r="H40" s="3"/>
      <x:c r="I40" s="2"/>
      <x:c r="J40" s="2"/>
    </x:row>
    <x:row r="41" ht="24" customHeight="1">
      <x:c r="A41" s="2"/>
      <x:c r="B41" s="2" t="str">
        <x:v>Modelled FY30 EBIT margin</x:v>
      </x:c>
      <x:c r="C41" s="3"/>
      <x:c r="D41" s="29" t="n">
        <x:f>'JB growth test'!D47</x:f>
        <x:v>0.24958264299186578</x:v>
      </x:c>
      <x:c r="E41" s="3"/>
      <x:c r="F41" s="3"/>
      <x:c r="G41" s="3"/>
      <x:c r="H41" s="3"/>
      <x:c r="I41" s="2"/>
      <x:c r="J41" s="2"/>
    </x:row>
    <x:row r="42" ht="24" customHeight="1">
      <x:c r="A42" s="2"/>
      <x:c r="B42" s="2"/>
      <x:c r="C42" s="3"/>
      <x:c r="D42" s="3"/>
      <x:c r="E42" s="3"/>
      <x:c r="F42" s="3"/>
      <x:c r="G42" s="3"/>
      <x:c r="H42" s="3"/>
      <x:c r="I42" s="2"/>
      <x:c r="J42" s="2"/>
    </x:row>
    <x:row r="43" ht="46" customHeight="1">
      <x:c r="A43" s="2"/>
      <x:c r="B43" s="86" t="str">
        <x:v>The reverse test fixes interim cash flows and FY30 revenue. It is a valuation hurdle, not a growth forecast. Start with this sheet, then review Valuation inputs and JB growth test.</x:v>
      </x:c>
      <x:c r="C43" s="103"/>
      <x:c r="D43" s="103"/>
      <x:c r="E43" s="103"/>
      <x:c r="F43" s="103"/>
      <x:c r="G43" s="103"/>
      <x:c r="H43" s="103"/>
      <x:c r="I43" s="2"/>
      <x:c r="J43" s="2"/>
    </x:row>
    <x:row r="44" ht="24" customHeight="1">
      <x:c r="A44" s="2"/>
      <x:c r="B44" s="2"/>
      <x:c r="C44" s="3"/>
      <x:c r="D44" s="3"/>
      <x:c r="E44" s="3"/>
      <x:c r="F44" s="3"/>
      <x:c r="G44" s="3"/>
      <x:c r="H44" s="3"/>
      <x:c r="I44" s="2"/>
      <x:c r="J44" s="2"/>
    </x:row>
    <x:row r="45" ht="24" customHeight="1">
      <x:c r="A45" s="2"/>
      <x:c r="B45" s="2"/>
      <x:c r="C45" s="3"/>
      <x:c r="D45" s="3"/>
      <x:c r="E45" s="3"/>
      <x:c r="F45" s="3"/>
      <x:c r="G45" s="3"/>
      <x:c r="H45" s="3"/>
      <x:c r="I45" s="2"/>
      <x:c r="J45" s="2"/>
    </x:row>
    <x:row r="46" ht="24" customHeight="1">
      <x:c r="A46" s="2"/>
      <x:c r="B46" s="2"/>
      <x:c r="C46" s="3"/>
      <x:c r="D46" s="3"/>
      <x:c r="E46" s="3"/>
      <x:c r="F46" s="3"/>
      <x:c r="G46" s="3"/>
      <x:c r="H46" s="3"/>
      <x:c r="I46" s="2"/>
      <x:c r="J46" s="2"/>
    </x:row>
    <x:row r="47" ht="24" customHeight="1">
      <x:c r="A47" s="2"/>
      <x:c r="B47" s="2"/>
      <x:c r="C47" s="3"/>
      <x:c r="D47" s="3"/>
      <x:c r="E47" s="3"/>
      <x:c r="F47" s="3"/>
      <x:c r="G47" s="3"/>
      <x:c r="H47" s="3"/>
      <x:c r="I47" s="2"/>
      <x:c r="J47" s="2"/>
    </x:row>
    <x:row r="48" ht="24" customHeight="1">
      <x:c r="A48" s="2"/>
      <x:c r="B48" s="2"/>
      <x:c r="C48" s="3"/>
      <x:c r="D48" s="3"/>
      <x:c r="E48" s="3"/>
      <x:c r="F48" s="3"/>
      <x:c r="G48" s="3"/>
      <x:c r="H48" s="3"/>
      <x:c r="I48" s="2"/>
      <x:c r="J48" s="2"/>
    </x:row>
    <x:row r="49" ht="24" customHeight="1">
      <x:c r="A49" s="2"/>
      <x:c r="B49" s="2"/>
      <x:c r="C49" s="3"/>
      <x:c r="D49" s="3"/>
      <x:c r="E49" s="3"/>
      <x:c r="F49" s="3"/>
      <x:c r="G49" s="3"/>
      <x:c r="H49" s="3"/>
      <x:c r="I49" s="2"/>
      <x:c r="J49" s="2"/>
    </x:row>
    <x:row r="50" ht="24" customHeight="1">
      <x:c r="A50" s="2"/>
      <x:c r="B50" s="2"/>
      <x:c r="C50" s="3"/>
      <x:c r="D50" s="3"/>
      <x:c r="E50" s="3"/>
      <x:c r="F50" s="3"/>
      <x:c r="G50" s="3"/>
      <x:c r="H50" s="3"/>
      <x:c r="I50" s="2"/>
      <x:c r="J50" s="2"/>
    </x:row>
    <x:row r="51" ht="24" customHeight="1">
      <x:c r="A51" s="2"/>
      <x:c r="B51" s="2"/>
      <x:c r="C51" s="3"/>
      <x:c r="D51" s="3"/>
      <x:c r="E51" s="3"/>
      <x:c r="F51" s="3"/>
      <x:c r="G51" s="3"/>
      <x:c r="H51" s="3"/>
      <x:c r="I51" s="2"/>
      <x:c r="J51" s="2"/>
    </x:row>
    <x:row r="52" ht="24" customHeight="1">
      <x:c r="A52" s="2"/>
      <x:c r="B52" s="2"/>
      <x:c r="C52" s="3"/>
      <x:c r="D52" s="3"/>
      <x:c r="E52" s="3"/>
      <x:c r="F52" s="3"/>
      <x:c r="G52" s="3"/>
      <x:c r="H52" s="3"/>
      <x:c r="I52" s="2"/>
      <x:c r="J52" s="2"/>
    </x:row>
    <x:row r="53" ht="24" customHeight="1">
      <x:c r="A53" s="2"/>
      <x:c r="B53" s="2"/>
      <x:c r="C53" s="3"/>
      <x:c r="D53" s="3"/>
      <x:c r="E53" s="3"/>
      <x:c r="F53" s="3"/>
      <x:c r="G53" s="3"/>
      <x:c r="H53" s="3"/>
      <x:c r="I53" s="2"/>
      <x:c r="J53" s="2"/>
    </x:row>
    <x:row r="54" ht="24" customHeight="1">
      <x:c r="A54" s="2"/>
      <x:c r="B54" s="2"/>
      <x:c r="C54" s="3"/>
      <x:c r="D54" s="3"/>
      <x:c r="E54" s="3"/>
      <x:c r="F54" s="3"/>
      <x:c r="G54" s="3"/>
      <x:c r="H54" s="3"/>
      <x:c r="I54" s="2"/>
      <x:c r="J54" s="2"/>
    </x:row>
    <x:row r="55" ht="24" customHeight="1">
      <x:c r="A55" s="2"/>
      <x:c r="B55" s="2"/>
      <x:c r="C55" s="3"/>
      <x:c r="D55" s="3"/>
      <x:c r="E55" s="3"/>
      <x:c r="F55" s="3"/>
      <x:c r="G55" s="3"/>
      <x:c r="H55" s="3"/>
      <x:c r="I55" s="2"/>
      <x:c r="J55" s="2"/>
    </x:row>
    <x:row r="56" ht="24" customHeight="1">
      <x:c r="A56" s="2"/>
      <x:c r="B56" s="2"/>
      <x:c r="C56" s="3"/>
      <x:c r="D56" s="3"/>
      <x:c r="E56" s="3"/>
      <x:c r="F56" s="3"/>
      <x:c r="G56" s="3"/>
      <x:c r="H56" s="3"/>
      <x:c r="I56" s="2"/>
      <x:c r="J56" s="2"/>
    </x:row>
    <x:row r="57" ht="24" customHeight="1">
      <x:c r="A57" s="2"/>
      <x:c r="B57" s="2"/>
      <x:c r="C57" s="3"/>
      <x:c r="D57" s="3"/>
      <x:c r="E57" s="3"/>
      <x:c r="F57" s="3"/>
      <x:c r="G57" s="3"/>
      <x:c r="H57" s="3"/>
      <x:c r="I57" s="2"/>
      <x:c r="J57" s="2"/>
    </x:row>
    <x:row r="58" ht="24" customHeight="1">
      <x:c r="A58" s="2"/>
      <x:c r="B58" s="2"/>
      <x:c r="C58" s="3"/>
      <x:c r="D58" s="3"/>
      <x:c r="E58" s="3"/>
      <x:c r="F58" s="3"/>
      <x:c r="G58" s="3"/>
      <x:c r="H58" s="3"/>
      <x:c r="I58" s="2"/>
      <x:c r="J58" s="2"/>
    </x:row>
    <x:row r="59" ht="24" customHeight="1">
      <x:c r="A59" s="2"/>
      <x:c r="B59" s="2"/>
      <x:c r="C59" s="3"/>
      <x:c r="D59" s="3"/>
      <x:c r="E59" s="3"/>
      <x:c r="F59" s="3"/>
      <x:c r="G59" s="3"/>
      <x:c r="H59" s="3"/>
      <x:c r="I59" s="2"/>
      <x:c r="J59" s="2"/>
    </x:row>
    <x:row r="60" ht="24" customHeight="1">
      <x:c r="A60" s="2"/>
      <x:c r="B60" s="2"/>
      <x:c r="C60" s="3"/>
      <x:c r="D60" s="3"/>
      <x:c r="E60" s="3"/>
      <x:c r="F60" s="3"/>
      <x:c r="G60" s="3"/>
      <x:c r="H60" s="3"/>
      <x:c r="I60" s="2"/>
      <x:c r="J60" s="2"/>
    </x:row>
    <x:row r="61" ht="24" customHeight="1">
      <x:c r="A61" s="2"/>
      <x:c r="B61" s="2"/>
      <x:c r="C61" s="3"/>
      <x:c r="D61" s="3"/>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sheetData>
  <x:mergeCells>
    <x:mergeCell ref="B2:H2"/>
    <x:mergeCell ref="B3:H3"/>
    <x:mergeCell ref="B6:H6"/>
    <x:mergeCell ref="B16:H16"/>
    <x:mergeCell ref="B24:H24"/>
    <x:mergeCell ref="B31:H31"/>
    <x:mergeCell ref="B32:H32"/>
    <x:mergeCell ref="B33:H33"/>
    <x:mergeCell ref="B34:H34"/>
    <x:mergeCell ref="B35:H35"/>
    <x:mergeCell ref="B36:H36"/>
    <x:mergeCell ref="B38:H38"/>
    <x:mergeCell ref="B43:H43"/>
  </x:mergeCells>
  <x:pageMargins left="0.7" right="0.7" top="0.75" bottom="0.75" header="0.3" footer="0.3"/>
</x:worksheet>
</file>

<file path=xl/worksheets/sheet16.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DCF assumptions and valuation basis</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x:c r="E5" s="2"/>
      <x:c r="F5" s="2"/>
      <x:c r="G5" s="2"/>
      <x:c r="H5" s="2"/>
      <x:c r="I5" s="2"/>
      <x:c r="J5" s="2"/>
    </x:row>
    <x:row r="6" ht="27" customHeight="1">
      <x:c r="A6" s="2"/>
      <x:c r="B6" s="137" t="str">
        <x:v>VALUATION TIMING</x:v>
      </x:c>
      <x:c r="C6" s="137"/>
      <x:c r="D6" s="137"/>
      <x:c r="E6" s="137"/>
      <x:c r="F6" s="137"/>
      <x:c r="G6" s="137"/>
      <x:c r="H6" s="137"/>
      <x:c r="I6" s="2"/>
      <x:c r="J6" s="2"/>
    </x:row>
    <x:row r="7" ht="27" customHeight="1">
      <x:c r="A7" s="2"/>
      <x:c r="B7" s="2" t="str">
        <x:v>Valuation date</x:v>
      </x:c>
      <x:c r="C7" s="139" t="n">
        <x:v>45837</x:v>
      </x:c>
      <x:c r="D7" s="3"/>
      <x:c r="E7" s="103" t="str">
        <x:v>FY26 cash flow is prorated over the remaining fiscal year. Year-end discounting uses 275/365 years, then annual increments. FY25 net debt is held as an announcement-date proxy; there is no invented Q1 cash update.</x:v>
      </x:c>
      <x:c r="F7" s="103"/>
      <x:c r="G7" s="103"/>
      <x:c r="H7" s="103"/>
      <x:c r="I7" s="2"/>
      <x:c r="J7" s="2"/>
    </x:row>
    <x:row r="8" ht="27" customHeight="1">
      <x:c r="A8" s="2"/>
      <x:c r="B8" s="2" t="str">
        <x:v>Historical balance-sheet date</x:v>
      </x:c>
      <x:c r="C8" s="139" t="n">
        <x:v>45747</x:v>
      </x:c>
      <x:c r="D8" s="3"/>
      <x:c r="E8" s="103"/>
      <x:c r="F8" s="103"/>
      <x:c r="G8" s="103"/>
      <x:c r="H8" s="103"/>
      <x:c r="I8" s="2"/>
      <x:c r="J8" s="2"/>
    </x:row>
    <x:row r="9" ht="27" customHeight="1">
      <x:c r="A9" s="2"/>
      <x:c r="B9" s="2" t="str">
        <x:v>First forecast year-end</x:v>
      </x:c>
      <x:c r="C9" s="139" t="n">
        <x:v>46112</x:v>
      </x:c>
      <x:c r="D9" s="3"/>
      <x:c r="E9" s="103"/>
      <x:c r="F9" s="103"/>
      <x:c r="G9" s="103"/>
      <x:c r="H9" s="103"/>
      <x:c r="I9" s="2"/>
      <x:c r="J9" s="2"/>
    </x:row>
    <x:row r="10" ht="27" customHeight="1">
      <x:c r="A10" s="2"/>
      <x:c r="B10" s="2" t="str">
        <x:v>FY26 fraction remaining</x:v>
      </x:c>
      <x:c r="C10" s="29" t="n">
        <x:f>IF(AND(C7&gt;=C8,C7&lt;C9),(C9-C7)/(C9-C8),NA())</x:f>
        <x:v>0.7534246575342466</x:v>
      </x:c>
      <x:c r="D10" s="3"/>
      <x:c r="E10" s="103"/>
      <x:c r="F10" s="103"/>
      <x:c r="G10" s="103"/>
      <x:c r="H10" s="103"/>
      <x:c r="I10" s="2"/>
      <x:c r="J10" s="2"/>
    </x:row>
    <x:row r="11" ht="27" customHeight="1">
      <x:c r="A11" s="2"/>
      <x:c r="B11" s="137" t="str">
        <x:v>DISCOUNT RATE, TERMINAL VALUE AND LEASES</x:v>
      </x:c>
      <x:c r="C11" s="141"/>
      <x:c r="D11" s="141"/>
      <x:c r="E11" s="141"/>
      <x:c r="F11" s="141"/>
      <x:c r="G11" s="141"/>
      <x:c r="H11" s="141"/>
      <x:c r="I11" s="2"/>
      <x:c r="J11" s="2"/>
    </x:row>
    <x:row r="12" ht="24" customHeight="1">
      <x:c r="A12" s="2"/>
      <x:c r="B12" s="2"/>
      <x:c r="C12" s="3"/>
      <x:c r="D12" s="3" t="str">
        <x:v>Torrent</x:v>
      </x:c>
      <x:c r="E12" s="3" t="str">
        <x:v>JB</x:v>
      </x:c>
      <x:c r="F12" s="3"/>
      <x:c r="G12" s="3"/>
      <x:c r="H12" s="3"/>
      <x:c r="I12" s="2"/>
      <x:c r="J12" s="2"/>
    </x:row>
    <x:row r="13" ht="46" customHeight="1">
      <x:c r="A13" s="2"/>
      <x:c r="B13" s="51" t="str">
        <x:v>INR default-free rate — calculated</x:v>
      </x:c>
      <x:c r="C13" s="3"/>
      <x:c r="D13" s="182" t="n">
        <x:f>D62-D63</x:f>
        <x:v>0.04133240557070833</x:v>
      </x:c>
      <x:c r="E13" s="182" t="n">
        <x:f>E62-E63</x:f>
        <x:v>0.04133240557070833</x:v>
      </x:c>
      <x:c r="F13" s="3"/>
      <x:c r="G13" s="103" t="str">
        <x:v>Government yield less rating-based sovereign spread. Dated observations and source URLs are in rows 60–70.</x:v>
      </x:c>
      <x:c r="H13" s="103"/>
      <x:c r="I13" s="86"/>
      <x:c r="J13" s="86"/>
    </x:row>
    <x:row r="14" ht="46" customHeight="1">
      <x:c r="A14" s="2"/>
      <x:c r="B14" s="51" t="str">
        <x:v>India total equity risk premium</x:v>
      </x:c>
      <x:c r="C14" s="3"/>
      <x:c r="D14" s="183" t="n">
        <x:v>0.07263178684538141</x:v>
      </x:c>
      <x:c r="E14" s="183" t="n">
        <x:v>0.07263178684538141</x:v>
      </x:c>
      <x:c r="F14" s="3"/>
      <x:c r="G14" s="103" t="str">
        <x:v>January 2025 archived total India ERP, retaining full source precision. Country risk is included once.</x:v>
      </x:c>
      <x:c r="H14" s="103"/>
      <x:c r="I14" s="86"/>
      <x:c r="J14" s="86"/>
    </x:row>
    <x:row r="15" ht="46" customHeight="1">
      <x:c r="A15" s="2"/>
      <x:c r="B15" s="51" t="str">
        <x:v>Levered beta — sector-derived</x:v>
      </x:c>
      <x:c r="C15" s="3"/>
      <x:c r="D15" s="181" t="n">
        <x:f>D64*(1+(1-D18)*D16/(1-D16))</x:f>
        <x:v>1.1020453918305697</x:v>
      </x:c>
      <x:c r="E15" s="181" t="n">
        <x:f>E64*(1+(1-E18)*E16/(1-E16))</x:f>
        <x:v>1.0601547775212206</x:v>
      </x:c>
      <x:c r="F15" s="3"/>
      <x:c r="G15" s="103" t="str">
        <x:v>Cash-adjusted EM pharmaceutical asset beta relevered at target debt / capital. Sector proxy, not a company regression.</x:v>
      </x:c>
      <x:c r="H15" s="103"/>
      <x:c r="I15" s="86"/>
      <x:c r="J15" s="86"/>
    </x:row>
    <x:row r="16" ht="46" customHeight="1">
      <x:c r="A16" s="2"/>
      <x:c r="B16" s="51" t="str">
        <x:v>Target debt / total capital</x:v>
      </x:c>
      <x:c r="C16" s="3"/>
      <x:c r="D16" s="144" t="n">
        <x:v>0.1</x:v>
      </x:c>
      <x:c r="E16" s="144" t="n">
        <x:v>0.05</x:v>
      </x:c>
      <x:c r="F16" s="3"/>
      <x:c r="G16" s="103" t="str">
        <x:v>Assumed long-run market-value debt weights; not FY25 book ratios or acquisition leverage.</x:v>
      </x:c>
      <x:c r="H16" s="103"/>
      <x:c r="I16" s="86"/>
      <x:c r="J16" s="86"/>
    </x:row>
    <x:row r="17" ht="46" customHeight="1">
      <x:c r="A17" s="2"/>
      <x:c r="B17" s="51" t="str">
        <x:v>Pre-tax cost of borrowing</x:v>
      </x:c>
      <x:c r="C17" s="3"/>
      <x:c r="D17" s="76" t="n">
        <x:f>'Deal inputs'!$C$29</x:f>
        <x:v>0.085</x:v>
      </x:c>
      <x:c r="E17" s="76" t="n">
        <x:f>'Deal inputs'!$C$29</x:f>
        <x:v>0.085</x:v>
      </x:c>
      <x:c r="F17" s="3"/>
      <x:c r="G17" s="103" t="str">
        <x:v>8.5% retained as a conservative analyst assumption. 27 June 2025 five-year AAA market reference was 6.72%, not a company loan quote.</x:v>
      </x:c>
      <x:c r="H17" s="103"/>
      <x:c r="I17" s="86"/>
      <x:c r="J17" s="86"/>
    </x:row>
    <x:row r="18" ht="46" customHeight="1">
      <x:c r="A18" s="2"/>
      <x:c r="B18" s="51" t="str">
        <x:v>Tax-shield rate — cash-tax proxy</x:v>
      </x:c>
      <x:c r="C18" s="3"/>
      <x:c r="D18" s="76" t="n">
        <x:f>'Torrent forecast'!D22</x:f>
        <x:v>0.28</x:v>
      </x:c>
      <x:c r="E18" s="76" t="n">
        <x:f>'JB forecast'!D22</x:f>
        <x:v>0.26</x:v>
      </x:c>
      <x:c r="F18" s="3"/>
      <x:c r="G18" s="103" t="str">
        <x:v>Operating cash-tax assumption used as tax-shield proxy; not a statutory marginal rate.</x:v>
      </x:c>
      <x:c r="H18" s="103"/>
      <x:c r="I18" s="86"/>
      <x:c r="J18" s="86"/>
    </x:row>
    <x:row r="19" ht="46" customHeight="1">
      <x:c r="A19" s="2"/>
      <x:c r="B19" s="51" t="str">
        <x:v>Cost of equity</x:v>
      </x:c>
      <x:c r="C19" s="3"/>
      <x:c r="D19" s="29" t="n">
        <x:f>D13+D15*D14</x:f>
        <x:v>0.12137593156408111</x:v>
      </x:c>
      <x:c r="E19" s="29" t="n">
        <x:f>E13+E15*E14</x:f>
        <x:v>0.11833334139474237</x:v>
      </x:c>
      <x:c r="F19" s="3"/>
      <x:c r="G19" s="103" t="str">
        <x:v>Default-free INR proxy + relevered sector beta × total India ERP. Uniform country premium across operations remains a simplification.</x:v>
      </x:c>
      <x:c r="H19" s="103"/>
      <x:c r="I19" s="86"/>
      <x:c r="J19" s="86"/>
    </x:row>
    <x:row r="20" ht="46" customHeight="1">
      <x:c r="A20" s="2"/>
      <x:c r="B20" s="51" t="str">
        <x:v>After-tax cost of debt</x:v>
      </x:c>
      <x:c r="C20" s="3"/>
      <x:c r="D20" s="29" t="n">
        <x:f>D17*(1-D18)</x:f>
        <x:v>0.061200000000000004</x:v>
      </x:c>
      <x:c r="E20" s="29" t="n">
        <x:f>E17*(1-E18)</x:f>
        <x:v>0.0629</x:v>
      </x:c>
      <x:c r="F20" s="3"/>
      <x:c r="G20" s="103" t="str">
        <x:v>Pre-tax borrowing rate × (1 − marginal tax rate).</x:v>
      </x:c>
      <x:c r="H20" s="103"/>
      <x:c r="I20" s="86"/>
      <x:c r="J20" s="86"/>
    </x:row>
    <x:row r="21" ht="46" customHeight="1">
      <x:c r="A21" s="2"/>
      <x:c r="B21" s="154" t="str">
        <x:v>Selected WACC</x:v>
      </x:c>
      <x:c r="C21" s="155"/>
      <x:c r="D21" s="184" t="n">
        <x:f>IF(D22="",D19*(1-D16)+D20*D16,IF(AND(ISNUMBER(D22),D22&gt;0),D22,NA()))</x:f>
        <x:v>0.115358338407673</x:v>
      </x:c>
      <x:c r="E21" s="184" t="n">
        <x:f>IF(E22="",E19*(1-E16)+E20*E16,IF(AND(ISNUMBER(E22),E22&gt;0),E22,NA()))</x:f>
        <x:v>0.11556167432500525</x:v>
      </x:c>
      <x:c r="F21" s="155"/>
      <x:c r="G21" s="157" t="str">
        <x:v>Cost of equity × equity weight + after-tax borrowing rate × debt weight.</x:v>
      </x:c>
      <x:c r="H21" s="157"/>
      <x:c r="I21" s="86"/>
      <x:c r="J21" s="86"/>
    </x:row>
    <x:row r="22" ht="42" customHeight="1">
      <x:c r="A22" s="2"/>
      <x:c r="B22" s="2" t="str">
        <x:v>Optional WACC stress override</x:v>
      </x:c>
      <x:c r="C22" s="3"/>
      <x:c r="D22" s="183"/>
      <x:c r="E22" s="176"/>
      <x:c r="F22" s="3"/>
      <x:c r="G22" s="103" t="str">
        <x:v>Leave blank for calculated WACC. Enter a positive rate only for a deliberate stress test; clear it to restore the dated-input build.</x:v>
      </x:c>
      <x:c r="H22" s="103"/>
      <x:c r="I22" s="86"/>
      <x:c r="J22" s="86"/>
    </x:row>
    <x:row r="23" ht="46" customHeight="1">
      <x:c r="A23" s="2"/>
      <x:c r="B23" s="51" t="str">
        <x:v>Perpetual nominal growth rate</x:v>
      </x:c>
      <x:c r="C23" s="3"/>
      <x:c r="D23" s="144" t="n">
        <x:v>0.04</x:v>
      </x:c>
      <x:c r="E23" s="176" t="n">
        <x:v>0.04</x:v>
      </x:c>
      <x:c r="F23" s="3"/>
      <x:c r="G23" s="103" t="str">
        <x:v>Analyst stable-growth assumption after FY30; not management guidance. Must be below WACC.</x:v>
      </x:c>
      <x:c r="H23" s="103"/>
      <x:c r="I23" s="86"/>
      <x:c r="J23" s="86"/>
    </x:row>
    <x:row r="24" ht="46" customHeight="1">
      <x:c r="A24" s="2"/>
      <x:c r="B24" s="51" t="str">
        <x:v>Terminal return on invested capital</x:v>
      </x:c>
      <x:c r="C24" s="3"/>
      <x:c r="D24" s="144" t="n">
        <x:v>0.15</x:v>
      </x:c>
      <x:c r="E24" s="176" t="n">
        <x:v>0.15</x:v>
      </x:c>
      <x:c r="F24" s="3"/>
      <x:c r="G24" s="103" t="str">
        <x:v>Analyst return on new capital. Implies reinvestment = growth / ROIC. ROIC must exceed growth. [2]</x:v>
      </x:c>
      <x:c r="H24" s="103"/>
      <x:c r="I24" s="86"/>
      <x:c r="J24" s="86"/>
    </x:row>
    <x:row r="25" ht="46" customHeight="1">
      <x:c r="A25" s="2"/>
      <x:c r="B25" s="51" t="str">
        <x:v>FY25 ROU depreciation (crore)</x:v>
      </x:c>
      <x:c r="C25" s="3"/>
      <x:c r="D25" s="143" t="n">
        <x:v>24.24</x:v>
      </x:c>
      <x:c r="E25" s="143" t="n">
        <x:v>11.4645</x:v>
      </x:c>
      <x:c r="F25" s="3"/>
      <x:c r="G25" s="103" t="str">
        <x:v>Torrent FY25 report printed p333; JB printed p274 (1,146.45 lakh / 100). [3, 4]</x:v>
      </x:c>
      <x:c r="H25" s="103"/>
      <x:c r="I25" s="86"/>
      <x:c r="J25" s="86"/>
    </x:row>
    <x:row r="26" ht="46" customHeight="1">
      <x:c r="A26" s="2"/>
      <x:c r="B26" s="51" t="str">
        <x:v>FY25 financed lease cash (crore)</x:v>
      </x:c>
      <x:c r="C26" s="3"/>
      <x:c r="D26" s="143" t="n">
        <x:v>27.24</x:v>
      </x:c>
      <x:c r="E26" s="143" t="n">
        <x:v>13.0997</x:v>
      </x:c>
      <x:c r="F26" s="3"/>
      <x:c r="G26" s="103" t="str">
        <x:v>Includes lease principal and interest. Torrent printed p333; JB printed p274. Operating rentals already in expenses are not deducted twice. [3, 4]</x:v>
      </x:c>
      <x:c r="H26" s="103"/>
      <x:c r="I26" s="86"/>
      <x:c r="J26" s="86"/>
    </x:row>
    <x:row r="27" ht="46" customHeight="1">
      <x:c r="A27" s="2"/>
      <x:c r="B27" s="51" t="str">
        <x:v>ROU depreciation / revenue</x:v>
      </x:c>
      <x:c r="C27" s="3"/>
      <x:c r="D27" s="76" t="n">
        <x:f>D25/'Torrent history'!G7</x:f>
        <x:v>0.00210488108377062</x:v>
      </x:c>
      <x:c r="E27" s="76" t="n">
        <x:f>E25/'JB history'!G7</x:f>
        <x:v>0.0029261187743119007</x:v>
      </x:c>
      <x:c r="F27" s="3"/>
      <x:c r="G27" s="103" t="str">
        <x:v>FY25 ratio held constant against forecast revenue; proxy for the ROU portion of forecast D&amp;A.</x:v>
      </x:c>
      <x:c r="H27" s="103"/>
      <x:c r="I27" s="86"/>
      <x:c r="J27" s="86"/>
    </x:row>
    <x:row r="28" ht="46" customHeight="1">
      <x:c r="A28" s="2"/>
      <x:c r="B28" s="51" t="str">
        <x:v>Financed lease cash / revenue</x:v>
      </x:c>
      <x:c r="C28" s="3"/>
      <x:c r="D28" s="76" t="n">
        <x:f>D26/'Torrent history'!G7</x:f>
        <x:v>0.002365386168395697</x:v>
      </x:c>
      <x:c r="E28" s="76" t="n">
        <x:f>E26/'JB history'!G7</x:f>
        <x:v>0.003343475782446126</x:v>
      </x:c>
      <x:c r="F28" s="3"/>
      <x:c r="G28" s="103" t="str">
        <x:v>FY25 ratio held constant. Reclassifies financed leases as operating cash rentals for valuation.</x:v>
      </x:c>
      <x:c r="H28" s="103"/>
      <x:c r="I28" s="86"/>
      <x:c r="J28" s="86"/>
    </x:row>
    <x:row r="29" ht="46" customHeight="1">
      <x:c r="A29" s="2"/>
      <x:c r="B29" s="51" t="str">
        <x:v>Other operating WC / revenue</x:v>
      </x:c>
      <x:c r="C29" s="3"/>
      <x:c r="D29" s="144" t="n">
        <x:v>0</x:v>
      </x:c>
      <x:c r="E29" s="144" t="n">
        <x:v>0</x:v>
      </x:c>
      <x:c r="F29" s="3"/>
      <x:c r="G29" s="103" t="str">
        <x:v>Incremental non-trade working-capital assumption. Zero is an explicit simplifying estimate, not a sourced balance.</x:v>
      </x:c>
      <x:c r="H29" s="103"/>
      <x:c r="I29" s="86"/>
      <x:c r="J29" s="86"/>
    </x:row>
    <x:row r="30" ht="46" customHeight="1">
      <x:c r="A30" s="2"/>
      <x:c r="B30" s="51" t="str">
        <x:v>Additional non-operating assets</x:v>
      </x:c>
      <x:c r="C30" s="3"/>
      <x:c r="D30" s="143" t="n">
        <x:v>0</x:v>
      </x:c>
      <x:c r="E30" s="143" t="n">
        <x:v>0</x:v>
      </x:c>
      <x:c r="F30" s="3"/>
      <x:c r="G30" s="103" t="str">
        <x:v>No value assigned beyond historical cash/current investments. JB non-current deposits remain excluded pending availability review.</x:v>
      </x:c>
      <x:c r="H30" s="103"/>
      <x:c r="I30" s="86"/>
      <x:c r="J30" s="86"/>
    </x:row>
    <x:row r="31" ht="46" customHeight="1">
      <x:c r="A31" s="2"/>
      <x:c r="B31" s="51" t="str">
        <x:v>Operating liquidity retained</x:v>
      </x:c>
      <x:c r="C31" s="3"/>
      <x:c r="D31" s="143" t="n">
        <x:v>100</x:v>
      </x:c>
      <x:c r="E31" s="143" t="n">
        <x:v>50</x:v>
      </x:c>
      <x:c r="F31" s="3"/>
      <x:c r="G31" s="103" t="str">
        <x:v>Analyst reserve deducted from cash add-back. Avoids treating every rupee of cash as excess.</x:v>
      </x:c>
      <x:c r="H31" s="103"/>
      <x:c r="I31" s="86"/>
      <x:c r="J31" s="86"/>
    </x:row>
    <x:row r="32" ht="46" customHeight="1">
      <x:c r="A32" s="2"/>
      <x:c r="B32" s="51" t="str">
        <x:v>Other equity claims / adjustments</x:v>
      </x:c>
      <x:c r="C32" s="3"/>
      <x:c r="D32" s="143" t="n">
        <x:v>0</x:v>
      </x:c>
      <x:c r="E32" s="143" t="n">
        <x:v>0</x:v>
      </x:c>
      <x:c r="F32" s="3"/>
      <x:c r="G32" s="103" t="str">
        <x:v>No additional pension, NCI or contingent-claim valuation is assumed; refine in due diligence.</x:v>
      </x:c>
      <x:c r="H32" s="103"/>
      <x:c r="I32" s="86"/>
      <x:c r="J32" s="86"/>
    </x:row>
    <x:row r="33" ht="46" customHeight="1">
      <x:c r="A33" s="2"/>
      <x:c r="B33" s="51" t="str">
        <x:v>Future ESOP exercise cash proceeds</x:v>
      </x:c>
      <x:c r="C33" s="3"/>
      <x:c r="D33" s="143" t="n">
        <x:v>0</x:v>
      </x:c>
      <x:c r="E33" s="143" t="n">
        <x:v>0</x:v>
      </x:c>
      <x:c r="F33" s="3"/>
      <x:c r="G33" s="103" t="str">
        <x:v>Expanded share count includes JB ESOP dilution; no speculative future exercise cash is added.</x:v>
      </x:c>
      <x:c r="H33" s="103"/>
      <x:c r="I33" s="86"/>
      <x:c r="J33" s="86"/>
    </x:row>
    <x:row r="34" ht="24" customHeight="1">
      <x:c r="A34" s="2"/>
      <x:c r="B34" s="2"/>
      <x:c r="C34" s="3"/>
      <x:c r="D34" s="3"/>
      <x:c r="E34" s="3"/>
      <x:c r="F34" s="3"/>
      <x:c r="G34" s="3"/>
      <x:c r="H34" s="3"/>
      <x:c r="I34" s="2"/>
      <x:c r="J34" s="2"/>
    </x:row>
    <x:row r="35" ht="46" customHeight="1">
      <x:c r="A35" s="2"/>
      <x:c r="B35" s="51" t="str">
        <x:v>Sensitivity: WACC step</x:v>
      </x:c>
      <x:c r="C35" s="3"/>
      <x:c r="D35" s="144" t="n">
        <x:v>0.005</x:v>
      </x:c>
      <x:c r="E35" s="144" t="n">
        <x:v>0.005</x:v>
      </x:c>
      <x:c r="F35" s="3"/>
      <x:c r="G35" s="103" t="str">
        <x:v>Five rows: base WACC plus/minus 50 and 100 basis points.</x:v>
      </x:c>
      <x:c r="H35" s="103"/>
      <x:c r="I35" s="86"/>
      <x:c r="J35" s="86"/>
    </x:row>
    <x:row r="36" ht="46" customHeight="1">
      <x:c r="A36" s="2"/>
      <x:c r="B36" s="51" t="str">
        <x:v>Sensitivity: terminal-growth step</x:v>
      </x:c>
      <x:c r="C36" s="3"/>
      <x:c r="D36" s="144" t="n">
        <x:v>0.005</x:v>
      </x:c>
      <x:c r="E36" s="144" t="n">
        <x:v>0.005</x:v>
      </x:c>
      <x:c r="F36" s="3"/>
      <x:c r="G36" s="103" t="str">
        <x:v>Five columns: base growth plus/minus 50 and 100 basis points.</x:v>
      </x:c>
      <x:c r="H36" s="103"/>
      <x:c r="I36" s="86"/>
      <x:c r="J36" s="86"/>
    </x:row>
    <x:row r="37" ht="24" customHeight="1">
      <x:c r="A37" s="2"/>
      <x:c r="B37" s="2"/>
      <x:c r="C37" s="3"/>
      <x:c r="D37" s="3"/>
      <x:c r="E37" s="3"/>
      <x:c r="F37" s="3"/>
      <x:c r="G37" s="3"/>
      <x:c r="H37" s="3"/>
      <x:c r="I37" s="2"/>
      <x:c r="J37" s="2"/>
    </x:row>
    <x:row r="38" ht="27" customHeight="1">
      <x:c r="A38" s="2"/>
      <x:c r="B38" s="137" t="str">
        <x:v>SYNERGY VALUATION — SHARED DEAL ASSUMPTIONS</x:v>
      </x:c>
      <x:c r="C38" s="141"/>
      <x:c r="D38" s="141"/>
      <x:c r="E38" s="141"/>
      <x:c r="F38" s="141"/>
      <x:c r="G38" s="141"/>
      <x:c r="H38" s="141"/>
      <x:c r="I38" s="2"/>
      <x:c r="J38" s="2"/>
    </x:row>
    <x:row r="39" ht="44" customHeight="1">
      <x:c r="A39" s="2"/>
      <x:c r="B39" s="2" t="str">
        <x:v>Probability of delivering gross savings</x:v>
      </x:c>
      <x:c r="C39" s="3"/>
      <x:c r="D39" s="144" t="n">
        <x:v>0.75</x:v>
      </x:c>
      <x:c r="E39" s="3"/>
      <x:c r="F39" s="103" t="str">
        <x:v>Applied to gross synergies only. Integration costs are paid in full. Analyst execution haircut.</x:v>
      </x:c>
      <x:c r="G39" s="103"/>
      <x:c r="H39" s="103"/>
      <x:c r="I39" s="86"/>
      <x:c r="J39" s="86"/>
    </x:row>
    <x:row r="40" ht="44" customHeight="1">
      <x:c r="A40" s="2"/>
      <x:c r="B40" s="2" t="str">
        <x:v>Risk increment over JB WACC</x:v>
      </x:c>
      <x:c r="C40" s="3"/>
      <x:c r="D40" s="144" t="n">
        <x:v>0.01</x:v>
      </x:c>
      <x:c r="E40" s="3"/>
      <x:c r="F40" s="103" t="str">
        <x:v>Additional 100 basis points for execution risk. Separate from the probability haircut.</x:v>
      </x:c>
      <x:c r="G40" s="103"/>
      <x:c r="H40" s="103"/>
      <x:c r="I40" s="86"/>
      <x:c r="J40" s="86"/>
    </x:row>
    <x:row r="41" ht="44" customHeight="1">
      <x:c r="A41" s="2"/>
      <x:c r="B41" s="2" t="str">
        <x:v>Full savings years after FY30</x:v>
      </x:c>
      <x:c r="C41" s="3"/>
      <x:c r="D41" s="143" t="n">
        <x:v>5</x:v>
      </x:c>
      <x:c r="E41" s="3"/>
      <x:c r="F41" s="103" t="str">
        <x:v>Flat nominal savings through FY35, then zero. No perpetual synergy value.</x:v>
      </x:c>
      <x:c r="G41" s="103"/>
      <x:c r="H41" s="103"/>
      <x:c r="I41" s="86"/>
      <x:c r="J41" s="86"/>
    </x:row>
    <x:row r="42" ht="24" customHeight="1">
      <x:c r="A42" s="2"/>
      <x:c r="B42" s="2"/>
      <x:c r="C42" s="3"/>
      <x:c r="D42" s="3"/>
      <x:c r="E42" s="3"/>
      <x:c r="F42" s="3"/>
      <x:c r="G42" s="3"/>
      <x:c r="H42" s="3"/>
      <x:c r="I42" s="2"/>
      <x:c r="J42" s="2"/>
    </x:row>
    <x:row r="43" ht="27" customHeight="1">
      <x:c r="A43" s="2"/>
      <x:c r="B43" s="137" t="str">
        <x:v>SOURCE REGISTER AND LIMITS</x:v>
      </x:c>
      <x:c r="C43" s="141"/>
      <x:c r="D43" s="141"/>
      <x:c r="E43" s="141"/>
      <x:c r="F43" s="141"/>
      <x:c r="G43" s="141"/>
      <x:c r="H43" s="141"/>
      <x:c r="I43" s="2"/>
      <x:c r="J43" s="2"/>
    </x:row>
    <x:row r="44" ht="43" customHeight="1">
      <x:c r="A44" s="2"/>
      <x:c r="B44" s="86" t="str">
        <x:v>[1] Damodaran January 2025 ERP. The archived workbook in [7] supplies the precise ERP and default spread used in this version.</x:v>
      </x:c>
      <x:c r="C44" s="103"/>
      <x:c r="D44" s="103"/>
      <x:c r="E44" s="103"/>
      <x:c r="F44" s="103"/>
      <x:c r="G44" s="103"/>
      <x:c r="H44" s="103"/>
      <x:c r="I44" s="2"/>
      <x:c r="J44" s="2"/>
    </x:row>
    <x:row r="45" ht="43" customHeight="1">
      <x:c r="A45" s="2"/>
      <x:c r="B45" s="86" t="str">
        <x:v>https://pages.stern.nyu.edu/~adamodar/pdfiles/blog/DataUpdate5for2025.pdf</x:v>
      </x:c>
      <x:c r="C45" s="103"/>
      <x:c r="D45" s="103"/>
      <x:c r="E45" s="103"/>
      <x:c r="F45" s="103"/>
      <x:c r="G45" s="103"/>
      <x:c r="H45" s="103"/>
      <x:c r="I45" s="2"/>
      <x:c r="J45" s="2"/>
    </x:row>
    <x:row r="46" ht="43" customHeight="1">
      <x:c r="A46" s="2"/>
      <x:c r="B46" s="86" t="str">
        <x:v>[2] Damodaran, terminal-value methodology: sustainable reinvestment = growth / return on capital; terminal FCF = next-year NOPAT × (1 − reinvestment).</x:v>
      </x:c>
      <x:c r="C46" s="103"/>
      <x:c r="D46" s="103"/>
      <x:c r="E46" s="103"/>
      <x:c r="F46" s="103"/>
      <x:c r="G46" s="103"/>
      <x:c r="H46" s="103"/>
      <x:c r="I46" s="2"/>
      <x:c r="J46" s="2"/>
    </x:row>
    <x:row r="47" ht="43" customHeight="1">
      <x:c r="A47" s="2"/>
      <x:c r="B47" s="86" t="str">
        <x:v>https://pages.stern.nyu.edu/adamodar/New_Home_Page/littlebook/terminalvalue.htm</x:v>
      </x:c>
      <x:c r="C47" s="103"/>
      <x:c r="D47" s="103"/>
      <x:c r="E47" s="103"/>
      <x:c r="F47" s="103"/>
      <x:c r="G47" s="103"/>
      <x:c r="H47" s="103"/>
      <x:c r="I47" s="2"/>
      <x:c r="J47" s="2"/>
    </x:row>
    <x:row r="48" ht="43" customHeight="1">
      <x:c r="A48" s="2"/>
      <x:c r="B48" s="86" t="str">
        <x:v>[3] Torrent FY25 annual report, consolidated lease disclosure printed p333 / PDF p335; financial base and source mapping in Torrent inputs.</x:v>
      </x:c>
      <x:c r="C48" s="103"/>
      <x:c r="D48" s="103"/>
      <x:c r="E48" s="103"/>
      <x:c r="F48" s="103"/>
      <x:c r="G48" s="103"/>
      <x:c r="H48" s="103"/>
      <x:c r="I48" s="2"/>
      <x:c r="J48" s="2"/>
    </x:row>
    <x:row r="49" ht="43" customHeight="1">
      <x:c r="A49" s="2"/>
      <x:c r="B49" s="86" t="str">
        <x:v>https://www.torrentpharma.com/pdf/investors/AR-2024-25_Single_page_view.pdf</x:v>
      </x:c>
      <x:c r="C49" s="103"/>
      <x:c r="D49" s="103"/>
      <x:c r="E49" s="103"/>
      <x:c r="F49" s="103"/>
      <x:c r="G49" s="103"/>
      <x:c r="H49" s="103"/>
      <x:c r="I49" s="2"/>
      <x:c r="J49" s="2"/>
    </x:row>
    <x:row r="50" ht="43" customHeight="1">
      <x:c r="A50" s="2"/>
      <x:c r="B50" s="86" t="str">
        <x:v>[4] JB FY25 annual report, consolidated note 45 printed pp273–274 / PDF pp261–262; financial base in JB inputs. INR lakh divided by 100 gives INR crore.</x:v>
      </x:c>
      <x:c r="C50" s="103"/>
      <x:c r="D50" s="103"/>
      <x:c r="E50" s="103"/>
      <x:c r="F50" s="103"/>
      <x:c r="G50" s="103"/>
      <x:c r="H50" s="103"/>
      <x:c r="I50" s="2"/>
      <x:c r="J50" s="2"/>
    </x:row>
    <x:row r="51" ht="43" customHeight="1">
      <x:c r="A51" s="2"/>
      <x:c r="B51" s="86" t="str">
        <x:v>https://jbpharma.com/download/fy25-annual-report/?wpdmdl=10520</x:v>
      </x:c>
      <x:c r="C51" s="103"/>
      <x:c r="D51" s="103"/>
      <x:c r="E51" s="103"/>
      <x:c r="F51" s="103"/>
      <x:c r="G51" s="103"/>
      <x:c r="H51" s="103"/>
      <x:c r="I51" s="2"/>
      <x:c r="J51" s="2"/>
    </x:row>
    <x:row r="52" ht="43" customHeight="1">
      <x:c r="A52" s="2"/>
      <x:c r="B52" s="86" t="str">
        <x:v>[5] KKR / Torrent announcement, 29 June 2025: share-block price of INR 1,600, open-offer price INR 1,639.18, and 51:100 exchange ratio. Exact share counts remain in Deal inputs.</x:v>
      </x:c>
      <x:c r="C52" s="103"/>
      <x:c r="D52" s="103"/>
      <x:c r="E52" s="103"/>
      <x:c r="F52" s="103"/>
      <x:c r="G52" s="103"/>
      <x:c r="H52" s="103"/>
      <x:c r="I52" s="2"/>
      <x:c r="J52" s="2"/>
    </x:row>
    <x:row r="53" ht="43" customHeight="1">
      <x:c r="A53" s="2"/>
      <x:c r="B53" s="86" t="str">
        <x:v>https://media.kkr.com/news-details?news_id=d074105a-2376-41bd-807e-c2cf155f111d</x:v>
      </x:c>
      <x:c r="C53" s="103"/>
      <x:c r="D53" s="103"/>
      <x:c r="E53" s="103"/>
      <x:c r="F53" s="103"/>
      <x:c r="G53" s="103"/>
      <x:c r="H53" s="103"/>
      <x:c r="I53" s="2"/>
      <x:c r="J53" s="2"/>
    </x:row>
    <x:row r="54" ht="57" customHeight="1">
      <x:c r="A54" s="2"/>
      <x:c r="B54" s="86" t="str">
        <x:v>Valuation convention: leases are treated as recurring operating rentals, with estimated tax deductibility. Lease debt is therefore not subtracted again in the enterprise-to-equity bridge. ROU depreciation and financed rentals grow with revenue.</x:v>
      </x:c>
      <x:c r="C54" s="103"/>
      <x:c r="D54" s="103"/>
      <x:c r="E54" s="103"/>
      <x:c r="F54" s="103"/>
      <x:c r="G54" s="103"/>
      <x:c r="H54" s="103"/>
      <x:c r="I54" s="2"/>
      <x:c r="J54" s="2"/>
    </x:row>
    <x:row r="55" ht="57" customHeight="1">
      <x:c r="A55" s="2"/>
      <x:c r="B55" s="86" t="str">
        <x:v>Timing limitation: straight-line FY26 proration assumes no seasonality; the FY25 balance sheet is not rolled forward. This creates a clearly disclosed timing approximation. No FY26 actual results are used.</x:v>
      </x:c>
      <x:c r="C55" s="103"/>
      <x:c r="D55" s="103"/>
      <x:c r="E55" s="103"/>
      <x:c r="F55" s="103"/>
      <x:c r="G55" s="103"/>
      <x:c r="H55" s="103"/>
      <x:c r="I55" s="2"/>
      <x:c r="J55" s="2"/>
    </x:row>
    <x:row r="56" ht="57" customHeight="1">
      <x:c r="A56" s="2"/>
      <x:c r="B56" s="86" t="str">
        <x:v>WACC now uses dated market observations and a sector beta. Target capital structure, debt pricing, country exposure and tax shields retain modelling judgment. See the validation decisions below.</x:v>
      </x:c>
      <x:c r="C56" s="103"/>
      <x:c r="D56" s="103"/>
      <x:c r="E56" s="103"/>
      <x:c r="F56" s="103"/>
      <x:c r="G56" s="103"/>
      <x:c r="H56" s="103"/>
      <x:c r="I56" s="2"/>
      <x:c r="J56" s="2"/>
    </x:row>
    <x:row r="57" ht="57" customHeight="1">
      <x:c r="A57" s="2"/>
      <x:c r="B57" s="86" t="str">
        <x:v>Terminal value normalises reinvestment instead of perpetuating FY30 capex / D&amp;A ratios. Other operating balances, asset-level amortisation, exercise proceeds and non-operating assets remain areas for refinement.</x:v>
      </x:c>
      <x:c r="C57" s="103"/>
      <x:c r="D57" s="103"/>
      <x:c r="E57" s="103"/>
      <x:c r="F57" s="103"/>
      <x:c r="G57" s="103"/>
      <x:c r="H57" s="103"/>
      <x:c r="I57" s="2"/>
      <x:c r="J57" s="2"/>
    </x:row>
    <x:row r="58" ht="24" customHeight="1">
      <x:c r="A58" s="2"/>
      <x:c r="B58" s="2"/>
      <x:c r="C58" s="3"/>
      <x:c r="D58" s="3"/>
      <x:c r="E58" s="3"/>
      <x:c r="F58" s="3"/>
      <x:c r="G58" s="3"/>
      <x:c r="H58" s="3"/>
      <x:c r="I58" s="2"/>
      <x:c r="J58" s="2"/>
    </x:row>
    <x:row r="59" ht="24" customHeight="1">
      <x:c r="A59" s="2"/>
      <x:c r="B59" s="2"/>
      <x:c r="C59" s="3"/>
      <x:c r="D59" s="3"/>
      <x:c r="E59" s="3"/>
      <x:c r="F59" s="3"/>
      <x:c r="G59" s="3"/>
      <x:c r="H59" s="3"/>
      <x:c r="I59" s="2"/>
      <x:c r="J59" s="2"/>
    </x:row>
    <x:row r="60" ht="26" customHeight="1">
      <x:c r="A60" s="2"/>
      <x:c r="B60" s="173" t="str">
        <x:v>DATED MARKET INPUTS AND BETA CALIBRATION</x:v>
      </x:c>
      <x:c r="C60" s="174"/>
      <x:c r="D60" s="174"/>
      <x:c r="E60" s="174"/>
      <x:c r="F60" s="174"/>
      <x:c r="G60" s="174"/>
      <x:c r="H60" s="174"/>
      <x:c r="I60" s="2"/>
      <x:c r="J60" s="2"/>
    </x:row>
    <x:row r="61" ht="32" customHeight="1">
      <x:c r="A61" s="2"/>
      <x:c r="B61" s="51" t="str">
        <x:v>Bond observation: 27 June 2025. Country data: January 2025. Sector beta data: 5 January 2025.</x:v>
      </x:c>
      <x:c r="C61" s="58"/>
      <x:c r="D61" s="58"/>
      <x:c r="E61" s="58"/>
      <x:c r="F61" s="58"/>
      <x:c r="G61" s="58"/>
      <x:c r="H61" s="58"/>
      <x:c r="I61" s="2"/>
      <x:c r="J61" s="2"/>
    </x:row>
    <x:row r="62" ht="26" customHeight="1">
      <x:c r="A62" s="2"/>
      <x:c r="B62" s="2" t="str">
        <x:v>India 10-year government yield</x:v>
      </x:c>
      <x:c r="C62" s="3"/>
      <x:c r="D62" s="183" t="n">
        <x:v>0.0631</x:v>
      </x:c>
      <x:c r="E62" s="187" t="n">
        <x:f>D62</x:f>
        <x:v>0.0631</x:v>
      </x:c>
      <x:c r="F62" s="3"/>
      <x:c r="G62" s="3"/>
      <x:c r="H62" s="3"/>
      <x:c r="I62" s="2"/>
      <x:c r="J62" s="2"/>
    </x:row>
    <x:row r="63" ht="26" customHeight="1">
      <x:c r="A63" s="2"/>
      <x:c r="B63" s="2" t="str">
        <x:v>India rating-based default spread</x:v>
      </x:c>
      <x:c r="C63" s="3"/>
      <x:c r="D63" s="183" t="n">
        <x:v>0.021767594429291676</x:v>
      </x:c>
      <x:c r="E63" s="187" t="n">
        <x:f>D63</x:f>
        <x:v>0.021767594429291676</x:v>
      </x:c>
      <x:c r="F63" s="3"/>
      <x:c r="G63" s="3"/>
      <x:c r="H63" s="3"/>
      <x:c r="I63" s="2"/>
      <x:c r="J63" s="2"/>
    </x:row>
    <x:row r="64" ht="26" customHeight="1">
      <x:c r="A64" s="2"/>
      <x:c r="B64" s="2" t="str">
        <x:v>EM pharma asset beta, cash-adjusted</x:v>
      </x:c>
      <x:c r="C64" s="3"/>
      <x:c r="D64" s="179" t="n">
        <x:v>1.02041239984312</x:v>
      </x:c>
      <x:c r="E64" s="177" t="n">
        <x:f>D64</x:f>
        <x:v>1.02041239984312</x:v>
      </x:c>
      <x:c r="F64" s="3"/>
      <x:c r="G64" s="3"/>
      <x:c r="H64" s="3"/>
      <x:c r="I64" s="2"/>
      <x:c r="J64" s="2"/>
    </x:row>
    <x:row r="65" ht="26" customHeight="1">
      <x:c r="A65" s="2"/>
      <x:c r="B65" s="2" t="str">
        <x:v>EM pharma aggregate debt / equity</x:v>
      </x:c>
      <x:c r="C65" s="3"/>
      <x:c r="D65" s="176" t="n">
        <x:v>0.103417133629754</x:v>
      </x:c>
      <x:c r="E65" s="29" t="n">
        <x:f>D65</x:f>
        <x:v>0.103417133629754</x:v>
      </x:c>
      <x:c r="F65" s="3"/>
      <x:c r="G65" s="3"/>
      <x:c r="H65" s="3"/>
      <x:c r="I65" s="2"/>
      <x:c r="J65" s="2"/>
    </x:row>
    <x:row r="66" ht="26" customHeight="1">
      <x:c r="A66" s="2"/>
      <x:c r="B66" s="2" t="str">
        <x:v>EM pharma implied debt / capital</x:v>
      </x:c>
      <x:c r="C66" s="3"/>
      <x:c r="D66" s="29" t="n">
        <x:f>D65/(1+D65)</x:f>
        <x:v>0.0937244225033532</x:v>
      </x:c>
      <x:c r="E66" s="3"/>
      <x:c r="F66" s="3"/>
      <x:c r="G66" s="3"/>
      <x:c r="H66" s="3"/>
      <x:c r="I66" s="2"/>
      <x:c r="J66" s="2"/>
    </x:row>
    <x:row r="67" ht="52" customHeight="1">
      <x:c r="A67" s="2"/>
      <x:c r="B67" s="86" t="str">
        <x:v>Sector beta: 735 emerging-market pharmaceutical firms. Relever the cash-adjusted asset beta at each company’s assumed long-run debt weight. The source includes lease debt; the rental-treatment DCF uses this as an approximate sector proxy.</x:v>
      </x:c>
      <x:c r="C67" s="103"/>
      <x:c r="D67" s="103"/>
      <x:c r="E67" s="103"/>
      <x:c r="F67" s="103"/>
      <x:c r="G67" s="103"/>
      <x:c r="H67" s="103"/>
      <x:c r="I67" s="2"/>
      <x:c r="J67" s="2"/>
    </x:row>
    <x:row r="68" ht="67" customHeight="1">
      <x:c r="A68" s="2"/>
      <x:c r="B68" s="86" t="str">
        <x:v>[6] Union Mutual Fund, weekly report dated 27 June 2025, pp1–2. 10-year benchmark yield: 6.31%; 5-year AAA reference: 6.72%. https://www.unionmf.com/docs/default-source/sebi-advertisement/2025/union-weekly-yield-27062025.pdf?sfvrsn=c5fe7b10_1</x:v>
      </x:c>
      <x:c r="C68" s="103"/>
      <x:c r="D68" s="103"/>
      <x:c r="E68" s="103"/>
      <x:c r="F68" s="103"/>
      <x:c r="G68" s="103"/>
      <x:c r="H68" s="103"/>
      <x:c r="I68" s="2"/>
      <x:c r="J68" s="2"/>
    </x:row>
    <x:row r="69" ht="52" customHeight="1">
      <x:c r="A69" s="2"/>
      <x:c r="B69" s="86" t="str">
        <x:v>[7] Damodaran January 2025 archive, ERPs by country, row 72: India default spread 2.176759%; total ERP 7.263179%. https://pages.stern.nyu.edu/~adamodar/pc/archives/ctryprem24.xlsx</x:v>
      </x:c>
      <x:c r="C69" s="103"/>
      <x:c r="D69" s="103"/>
      <x:c r="E69" s="103"/>
      <x:c r="F69" s="103"/>
      <x:c r="G69" s="103"/>
      <x:c r="H69" s="103"/>
      <x:c r="I69" s="2"/>
      <x:c r="J69" s="2"/>
    </x:row>
    <x:row r="70" ht="46" customHeight="1">
      <x:c r="A70" s="2"/>
      <x:c r="B70" s="86" t="str">
        <x:v>[8] Damodaran 5 January 2025 EM beta archive, Industry Averages, row 35, Drugs (Pharmaceutical). https://pages.stern.nyu.edu/~adamodar/pc/archives/betaemerg24.xls</x:v>
      </x:c>
      <x:c r="C70" s="103"/>
      <x:c r="D70" s="103"/>
      <x:c r="E70" s="103"/>
      <x:c r="F70" s="103"/>
      <x:c r="G70" s="103"/>
      <x:c r="H70" s="103"/>
      <x:c r="I70" s="2"/>
      <x:c r="J70" s="2"/>
    </x:row>
    <x:row r="71" ht="52" customHeight="1">
      <x:c r="A71" s="2"/>
      <x:c r="B71" s="86" t="str">
        <x:v>Source-date limit: May 2025 results support the FY25 financial base. Detailed historical notes are reconciled to later FY25 annual reports. No FY26 actuals or deal-completion outcomes calibrate the forecasts. This is not a strict point-in-time backtest.</x:v>
      </x:c>
      <x:c r="C71" s="103"/>
      <x:c r="D71" s="103"/>
      <x:c r="E71" s="103"/>
      <x:c r="F71" s="103"/>
      <x:c r="G71" s="103"/>
      <x:c r="H71" s="103"/>
      <x:c r="I71" s="2"/>
      <x:c r="J71" s="2"/>
    </x:row>
    <x:row r="72" ht="26" customHeight="1">
      <x:c r="A72" s="2"/>
      <x:c r="B72" s="2"/>
      <x:c r="C72" s="3"/>
      <x:c r="D72" s="3"/>
      <x:c r="E72" s="3"/>
      <x:c r="F72" s="3"/>
      <x:c r="G72" s="3"/>
      <x:c r="H72" s="3"/>
      <x:c r="I72" s="2"/>
      <x:c r="J72" s="2"/>
    </x:row>
    <x:row r="73" ht="26" customHeight="1">
      <x:c r="A73" s="2"/>
      <x:c r="B73" s="173" t="str">
        <x:v>JB GROWTH EXTENSION — ANALYST ASSUMPTIONS</x:v>
      </x:c>
      <x:c r="C73" s="174"/>
      <x:c r="D73" s="174"/>
      <x:c r="E73" s="174"/>
      <x:c r="F73" s="174"/>
      <x:c r="G73" s="174"/>
      <x:c r="H73" s="174"/>
      <x:c r="I73" s="2"/>
      <x:c r="J73" s="2"/>
    </x:row>
    <x:row r="74" ht="26" customHeight="1">
      <x:c r="A74" s="2"/>
      <x:c r="B74" s="2"/>
      <x:c r="C74" s="3"/>
      <x:c r="D74" s="3" t="str">
        <x:v>FY31E</x:v>
      </x:c>
      <x:c r="E74" s="3" t="str">
        <x:v>FY32E</x:v>
      </x:c>
      <x:c r="F74" s="3" t="str">
        <x:v>FY33E</x:v>
      </x:c>
      <x:c r="G74" s="3" t="str">
        <x:v>FY34E</x:v>
      </x:c>
      <x:c r="H74" s="3" t="str">
        <x:v>FY35E</x:v>
      </x:c>
      <x:c r="I74" s="2"/>
      <x:c r="J74" s="2"/>
    </x:row>
    <x:row r="75" ht="26" customHeight="1">
      <x:c r="A75" s="2"/>
      <x:c r="B75" s="2" t="str">
        <x:v>NOPAT growth after FY30</x:v>
      </x:c>
      <x:c r="C75" s="3"/>
      <x:c r="D75" s="176" t="n">
        <x:v>0.1</x:v>
      </x:c>
      <x:c r="E75" s="176" t="n">
        <x:v>0.085</x:v>
      </x:c>
      <x:c r="F75" s="176" t="n">
        <x:v>0.07</x:v>
      </x:c>
      <x:c r="G75" s="176" t="n">
        <x:v>0.055</x:v>
      </x:c>
      <x:c r="H75" s="176" t="n">
        <x:v>0.04</x:v>
      </x:c>
      <x:c r="I75" s="2"/>
      <x:c r="J75" s="2"/>
    </x:row>
    <x:row r="76" ht="26" customHeight="1">
      <x:c r="A76" s="2"/>
      <x:c r="B76" s="2" t="str">
        <x:v>Incremental ROIC in FY31–FY35</x:v>
      </x:c>
      <x:c r="C76" s="3"/>
      <x:c r="D76" s="176" t="n">
        <x:v>0.2</x:v>
      </x:c>
      <x:c r="E76" s="3"/>
      <x:c r="F76" s="3"/>
      <x:c r="G76" s="3"/>
      <x:c r="H76" s="3"/>
      <x:c r="I76" s="2"/>
      <x:c r="J76" s="2"/>
    </x:row>
    <x:row r="77" ht="50" customHeight="1">
      <x:c r="A77" s="2"/>
      <x:c r="B77" s="86" t="str">
        <x:v>Separate horizon test: extend JB’s active FY30 NOPAT for five years. Net reinvestment = change in NOPAT / incremental ROIC. Growth fades to 4%; terminal ROIC then returns to 15%. These are estimates, not management guidance.</x:v>
      </x:c>
      <x:c r="C77" s="103"/>
      <x:c r="D77" s="103"/>
      <x:c r="E77" s="103"/>
      <x:c r="F77" s="103"/>
      <x:c r="G77" s="103"/>
      <x:c r="H77" s="103"/>
      <x:c r="I77" s="2"/>
      <x:c r="J77" s="2"/>
    </x:row>
    <x:row r="78" ht="26" customHeight="1">
      <x:c r="A78" s="2"/>
      <x:c r="B78" s="2"/>
      <x:c r="C78" s="3"/>
      <x:c r="D78" s="3"/>
      <x:c r="E78" s="3"/>
      <x:c r="F78" s="3"/>
      <x:c r="G78" s="3"/>
      <x:c r="H78" s="3"/>
      <x:c r="I78" s="2"/>
      <x:c r="J78" s="2"/>
    </x:row>
    <x:row r="79" ht="26" customHeight="1">
      <x:c r="A79" s="2"/>
      <x:c r="B79" s="173" t="str">
        <x:v>VALIDATION DECISIONS</x:v>
      </x:c>
      <x:c r="C79" s="174"/>
      <x:c r="D79" s="174"/>
      <x:c r="E79" s="174"/>
      <x:c r="F79" s="174"/>
      <x:c r="G79" s="174"/>
      <x:c r="H79" s="174"/>
      <x:c r="I79" s="2"/>
      <x:c r="J79" s="2"/>
    </x:row>
    <x:row r="80" ht="62" customHeight="1">
      <x:c r="A80" s="2"/>
      <x:c r="B80" s="86" t="str">
        <x:v>Risk-free rate: replace the 4.50% estimate with government yield less the rating-based sovereign spread. The resulting 4.13% is a calculated default-free proxy, not a traded security yield. Total India ERP already includes country risk.</x:v>
      </x:c>
      <x:c r="C80" s="103"/>
      <x:c r="D80" s="103"/>
      <x:c r="E80" s="103"/>
      <x:c r="F80" s="103"/>
      <x:c r="G80" s="103"/>
      <x:c r="H80" s="103"/>
      <x:c r="I80" s="2"/>
      <x:c r="J80" s="2"/>
    </x:row>
    <x:row r="81" ht="62" customHeight="1">
      <x:c r="A81" s="2"/>
      <x:c r="B81" s="86" t="str">
        <x:v>Beta: replace arbitrary company betas with the sector-derived build. Target debt weights of 10% for Torrent and 5% for JB remain assumptions. The sector benchmark is about 9.4% debt / capital, supporting the order of magnitude.</x:v>
      </x:c>
      <x:c r="C81" s="86"/>
      <x:c r="D81" s="86"/>
      <x:c r="E81" s="86"/>
      <x:c r="F81" s="86"/>
      <x:c r="G81" s="86"/>
      <x:c r="H81" s="86"/>
      <x:c r="I81" s="2"/>
      <x:c r="J81" s="2"/>
    </x:row>
    <x:row r="82" ht="62" customHeight="1">
      <x:c r="A82" s="2"/>
      <x:c r="B82" s="86" t="str">
        <x:v>Debt cost: retain 8.5% as a conservative financing assumption, 178 basis points above the 5-year AAA reference. Maturities and ratings differ; this does not establish either company’s borrowing quote or acquisition loan terms.</x:v>
      </x:c>
      <x:c r="C82" s="86"/>
      <x:c r="D82" s="86"/>
      <x:c r="E82" s="86"/>
      <x:c r="F82" s="86"/>
      <x:c r="G82" s="86"/>
      <x:c r="H82" s="86"/>
      <x:c r="I82" s="2"/>
      <x:c r="J82" s="2"/>
    </x:row>
    <x:row r="83" ht="48" customHeight="1">
      <x:c r="A83" s="2"/>
      <x:c r="B83" s="86" t="str">
        <x:v>Taxes: retain the operating cash-tax proxies of 28% / 26% in the base case. They are close to FY25 effective rates, but are not a country-by-country marginal tax-shield model. WACC uses the same proxy explicitly.</x:v>
      </x:c>
      <x:c r="C83" s="86"/>
      <x:c r="D83" s="86"/>
      <x:c r="E83" s="86"/>
      <x:c r="F83" s="86"/>
      <x:c r="G83" s="86"/>
      <x:c r="H83" s="86"/>
      <x:c r="I83" s="2"/>
      <x:c r="J83" s="2"/>
    </x:row>
    <x:row r="84" ht="48" customHeight="1">
      <x:c r="A84" s="2"/>
      <x:c r="B84" s="86" t="str">
        <x:v>Operations: retain active growth and margin forecasts. JB FY25 revenue grew 12.5%; after-ESOP EBITDA margin was 26.3%. Base FY26 growth is 11.5% and margin 26.8%. The 27.7% management EBITDA margin excludes ESOP cost.</x:v>
      </x:c>
      <x:c r="C84" s="86"/>
      <x:c r="D84" s="86"/>
      <x:c r="E84" s="86"/>
      <x:c r="F84" s="86"/>
      <x:c r="G84" s="86"/>
      <x:c r="H84" s="86"/>
      <x:c r="I84" s="2"/>
      <x:c r="J84" s="2"/>
    </x:row>
    <x:row r="85" ht="62" customHeight="1">
      <x:c r="A85" s="2"/>
      <x:c r="B85" s="86" t="str">
        <x:v>Terminal growth / ROIC: retain 4% / 15% as judgment-based normalisation. Growth requires 26.7% reinvestment. The longer-horizon test uses 20% incremental ROIC only through FY35. Neither return is an observed forward fact.</x:v>
      </x:c>
      <x:c r="C85" s="86"/>
      <x:c r="D85" s="86"/>
      <x:c r="E85" s="86"/>
      <x:c r="F85" s="86"/>
      <x:c r="G85" s="86"/>
      <x:c r="H85" s="86"/>
      <x:c r="I85" s="2"/>
      <x:c r="J85" s="2"/>
    </x:row>
    <x:row r="86" ht="62" customHeight="1">
      <x:c r="A86" s="2"/>
      <x:c r="B86" s="86" t="str">
        <x:v>Synergies: retain INR 300 crore annual cost savings with 75% delivery probability, the ramp and finite life. No public quantified synergy commitment is established in the announcement. Extra 100bp discount spread is additional conservatism.</x:v>
      </x:c>
      <x:c r="C86" s="86"/>
      <x:c r="D86" s="86"/>
      <x:c r="E86" s="86"/>
      <x:c r="F86" s="86"/>
      <x:c r="G86" s="86"/>
      <x:c r="H86" s="86"/>
      <x:c r="I86" s="2"/>
      <x:c r="J86" s="2"/>
    </x:row>
    <x:row r="87" ht="62" customHeight="1">
      <x:c r="A87" s="2"/>
      <x:c r="B87" s="86" t="str">
        <x:v>JB liquidity: management reported INR 689 crore net cash; this model uses cash/current investments less borrowings and a reserve. Non-current deposits may be restricted. Their exclusion makes the equity bridge narrower; it is not an accounting contradiction.</x:v>
      </x:c>
      <x:c r="C87" s="86"/>
      <x:c r="D87" s="86"/>
      <x:c r="E87" s="86"/>
      <x:c r="F87" s="86"/>
      <x:c r="G87" s="86"/>
      <x:c r="H87" s="86"/>
      <x:c r="I87" s="2"/>
      <x:c r="J87" s="2"/>
    </x:row>
    <x:row r="88" ht="48" customHeight="1">
      <x:c r="A88" s="2"/>
      <x:c r="B88" s="86" t="str">
        <x:v>[9] Torrent FY25 results, 20 May 2025: https://www.torrentpharma.com/assets/Torrent_Pharma_Press_release_final_Q4_24_25_4201161339.pdf</x:v>
      </x:c>
      <x:c r="C88" s="86"/>
      <x:c r="D88" s="86"/>
      <x:c r="E88" s="86"/>
      <x:c r="F88" s="86"/>
      <x:c r="G88" s="86"/>
      <x:c r="H88" s="86"/>
      <x:c r="I88" s="2"/>
      <x:c r="J88" s="2"/>
    </x:row>
    <x:row r="89" ht="48" customHeight="1">
      <x:c r="A89" s="2"/>
      <x:c r="B89" s="86" t="str">
        <x:v>[10] JB FY25 results, 14 May 2025: https://jbpharma.com/download/q4-fy25-press-release/?wpdmdl=10323 ; detailed results: https://jbpharma.com/download/q4-fy25-results-sheet/?wpdmdl=10326</x:v>
      </x:c>
      <x:c r="C89" s="86"/>
      <x:c r="D89" s="86"/>
      <x:c r="E89" s="86"/>
      <x:c r="F89" s="86"/>
      <x:c r="G89" s="86"/>
      <x:c r="H89" s="86"/>
      <x:c r="I89" s="2"/>
      <x:c r="J89" s="2"/>
    </x:row>
    <x:row r="90" ht="26" customHeight="1">
      <x:c r="A90" s="2"/>
      <x:c r="B90" s="2"/>
      <x:c r="C90" s="2"/>
      <x:c r="D90" s="2"/>
      <x:c r="E90" s="2"/>
      <x:c r="F90" s="2"/>
      <x:c r="G90" s="2"/>
      <x:c r="H90" s="2"/>
      <x:c r="I90" s="2"/>
      <x:c r="J90" s="2"/>
    </x:row>
    <x:row r="91" ht="26" customHeight="1">
      <x:c r="A91" s="2"/>
      <x:c r="B91" s="2"/>
      <x:c r="C91" s="2"/>
      <x:c r="D91" s="2"/>
      <x:c r="E91" s="2"/>
      <x:c r="F91" s="2"/>
      <x:c r="G91" s="2"/>
      <x:c r="H91" s="2"/>
      <x:c r="I91" s="2"/>
      <x:c r="J91" s="2"/>
    </x:row>
    <x:row r="92" ht="26" customHeight="1">
      <x:c r="A92" s="2"/>
      <x:c r="B92" s="2"/>
      <x:c r="C92" s="2"/>
      <x:c r="D92" s="2"/>
      <x:c r="E92" s="2"/>
      <x:c r="F92" s="2"/>
      <x:c r="G92" s="2"/>
      <x:c r="H92" s="2"/>
      <x:c r="I92" s="2"/>
      <x:c r="J92" s="2"/>
    </x:row>
    <x:row r="93" ht="26" customHeight="1">
      <x:c r="A93" s="2"/>
      <x:c r="B93" s="2"/>
      <x:c r="C93" s="2"/>
      <x:c r="D93" s="2"/>
      <x:c r="E93" s="2"/>
      <x:c r="F93" s="2"/>
      <x:c r="G93" s="2"/>
      <x:c r="H93" s="2"/>
      <x:c r="I93" s="2"/>
      <x:c r="J93" s="2"/>
    </x:row>
    <x:row r="94" ht="26" customHeight="1">
      <x:c r="A94" s="2"/>
      <x:c r="B94" s="2"/>
      <x:c r="C94" s="2"/>
      <x:c r="D94" s="2"/>
      <x:c r="E94" s="2"/>
      <x:c r="F94" s="2"/>
      <x:c r="G94" s="2"/>
      <x:c r="H94" s="2"/>
      <x:c r="I94" s="2"/>
      <x:c r="J94" s="2"/>
    </x:row>
    <x:row r="95" ht="26" customHeight="1">
      <x:c r="A95" s="2"/>
      <x:c r="B95" s="2"/>
      <x:c r="C95" s="2"/>
      <x:c r="D95" s="2"/>
      <x:c r="E95" s="2"/>
      <x:c r="F95" s="2"/>
      <x:c r="G95" s="2"/>
      <x:c r="H95" s="2"/>
      <x:c r="I95" s="2"/>
      <x:c r="J95" s="2"/>
    </x:row>
    <x:row r="96" ht="26" customHeight="1">
      <x:c r="A96" s="2"/>
      <x:c r="B96" s="2"/>
      <x:c r="C96" s="2"/>
      <x:c r="D96" s="2"/>
      <x:c r="E96" s="2"/>
      <x:c r="F96" s="2"/>
      <x:c r="G96" s="2"/>
      <x:c r="H96" s="2"/>
      <x:c r="I96" s="2"/>
      <x:c r="J96" s="2"/>
    </x:row>
    <x:row r="97" ht="26" customHeight="1">
      <x:c r="A97" s="2"/>
      <x:c r="B97" s="2"/>
      <x:c r="C97" s="2"/>
      <x:c r="D97" s="2"/>
      <x:c r="E97" s="2"/>
      <x:c r="F97" s="2"/>
      <x:c r="G97" s="2"/>
      <x:c r="H97" s="2"/>
      <x:c r="I97" s="2"/>
      <x:c r="J97" s="2"/>
    </x:row>
    <x:row r="98" ht="26" customHeight="1">
      <x:c r="A98" s="2"/>
      <x:c r="B98" s="2"/>
      <x:c r="C98" s="2"/>
      <x:c r="D98" s="2"/>
      <x:c r="E98" s="2"/>
      <x:c r="F98" s="2"/>
      <x:c r="G98" s="2"/>
      <x:c r="H98" s="2"/>
      <x:c r="I98" s="2"/>
      <x:c r="J98" s="2"/>
    </x:row>
    <x:row r="99" ht="26" customHeight="1">
      <x:c r="A99" s="2"/>
      <x:c r="B99" s="2"/>
      <x:c r="C99" s="2"/>
      <x:c r="D99" s="2"/>
      <x:c r="E99" s="2"/>
      <x:c r="F99" s="2"/>
      <x:c r="G99" s="2"/>
      <x:c r="H99" s="2"/>
      <x:c r="I99" s="2"/>
      <x:c r="J99" s="2"/>
    </x:row>
  </x:sheetData>
  <x:mergeCells>
    <x:mergeCell ref="B2:H2"/>
    <x:mergeCell ref="B3:H3"/>
    <x:mergeCell ref="B6:H6"/>
    <x:mergeCell ref="E7:H10"/>
    <x:mergeCell ref="B11:H11"/>
    <x:mergeCell ref="G13:J13"/>
    <x:mergeCell ref="G14:J14"/>
    <x:mergeCell ref="G15:J15"/>
    <x:mergeCell ref="G16:J16"/>
    <x:mergeCell ref="G17:J17"/>
    <x:mergeCell ref="G18:J18"/>
    <x:mergeCell ref="G19:J19"/>
    <x:mergeCell ref="G20:J20"/>
    <x:mergeCell ref="G21:J21"/>
    <x:mergeCell ref="G23:J23"/>
    <x:mergeCell ref="G24:J24"/>
    <x:mergeCell ref="G25:J25"/>
    <x:mergeCell ref="G26:J26"/>
    <x:mergeCell ref="G27:J27"/>
    <x:mergeCell ref="G28:J28"/>
    <x:mergeCell ref="G29:J29"/>
    <x:mergeCell ref="G30:J30"/>
    <x:mergeCell ref="G31:J31"/>
    <x:mergeCell ref="G32:J32"/>
    <x:mergeCell ref="G33:J33"/>
    <x:mergeCell ref="G35:J35"/>
    <x:mergeCell ref="G36:J36"/>
    <x:mergeCell ref="B38:H38"/>
    <x:mergeCell ref="F39:J39"/>
    <x:mergeCell ref="F40:J40"/>
    <x:mergeCell ref="F41:J41"/>
    <x:mergeCell ref="B43:H43"/>
    <x:mergeCell ref="B44:H44"/>
    <x:mergeCell ref="B45:H45"/>
    <x:mergeCell ref="B46:H46"/>
    <x:mergeCell ref="B47:H47"/>
    <x:mergeCell ref="B48:H48"/>
    <x:mergeCell ref="B49:H49"/>
    <x:mergeCell ref="B50:H50"/>
    <x:mergeCell ref="B51:H51"/>
    <x:mergeCell ref="B52:H52"/>
    <x:mergeCell ref="B53:H53"/>
    <x:mergeCell ref="B54:H54"/>
    <x:mergeCell ref="B55:H55"/>
    <x:mergeCell ref="B56:H56"/>
    <x:mergeCell ref="B57:H57"/>
    <x:mergeCell ref="B60:H60"/>
    <x:mergeCell ref="B61:H61"/>
    <x:mergeCell ref="B67:H67"/>
    <x:mergeCell ref="B68:H68"/>
    <x:mergeCell ref="B69:H69"/>
    <x:mergeCell ref="B70:H70"/>
    <x:mergeCell ref="B71:H71"/>
    <x:mergeCell ref="B73:H73"/>
    <x:mergeCell ref="B77:H77"/>
    <x:mergeCell ref="B79:H79"/>
    <x:mergeCell ref="B80:H80"/>
    <x:mergeCell ref="B81:H81"/>
    <x:mergeCell ref="B82:H82"/>
    <x:mergeCell ref="B83:H83"/>
    <x:mergeCell ref="B84:H84"/>
    <x:mergeCell ref="B85:H85"/>
    <x:mergeCell ref="B86:H86"/>
    <x:mergeCell ref="B87:H87"/>
    <x:mergeCell ref="B88:H88"/>
    <x:mergeCell ref="B89:H89"/>
    <x:mergeCell ref="G22:J22"/>
  </x:mergeCells>
  <x:pageMargins left="0.7" right="0.7" top="0.75" bottom="0.75" header="0.3" footer="0.3"/>
</x:worksheet>
</file>

<file path=xl/worksheets/sheet17.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Torrent standalone DCF</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t="str">
        <x:v>FY26E</x:v>
      </x:c>
      <x:c r="E5" s="2" t="str">
        <x:v>FY27E</x:v>
      </x:c>
      <x:c r="F5" s="2" t="str">
        <x:v>FY28E</x:v>
      </x:c>
      <x:c r="G5" s="2" t="str">
        <x:v>FY29E</x:v>
      </x:c>
      <x:c r="H5" s="2" t="str">
        <x:v>FY30E</x:v>
      </x:c>
      <x:c r="I5" s="2"/>
      <x:c r="J5" s="2"/>
    </x:row>
    <x:row r="6" ht="27" customHeight="1">
      <x:c r="A6" s="2"/>
      <x:c r="B6" s="137" t="str">
        <x:v>LEASE-ADJUSTED UNLEVERED CASH FLOW</x:v>
      </x:c>
      <x:c r="C6" s="137"/>
      <x:c r="D6" s="137"/>
      <x:c r="E6" s="137"/>
      <x:c r="F6" s="137"/>
      <x:c r="G6" s="137"/>
      <x:c r="H6" s="137"/>
      <x:c r="I6" s="2"/>
      <x:c r="J6" s="2"/>
    </x:row>
    <x:row r="7" ht="24" customHeight="1">
      <x:c r="A7" s="2"/>
      <x:c r="B7" s="2" t="str">
        <x:v>Revenue</x:v>
      </x:c>
      <x:c r="C7" s="3"/>
      <x:c r="D7" s="28" t="n">
        <x:f>'Torrent forecast'!D13</x:f>
        <x:v>12577.936300000001</x:v>
      </x:c>
      <x:c r="E7" s="28" t="n">
        <x:f>'Torrent forecast'!E13</x:f>
        <x:v>13742.241041000001</x:v>
      </x:c>
      <x:c r="F7" s="28" t="n">
        <x:f>'Torrent forecast'!F13</x:f>
        <x:v>14940.502372870003</x:v>
      </x:c>
      <x:c r="G7" s="28" t="n">
        <x:f>'Torrent forecast'!G13</x:f>
        <x:v>16183.512388442205</x:v>
      </x:c>
      <x:c r="H7" s="28" t="n">
        <x:f>'Torrent forecast'!H13</x:f>
        <x:v>17440.451527138735</x:v>
      </x:c>
      <x:c r="I7" s="2"/>
      <x:c r="J7" s="2"/>
    </x:row>
    <x:row r="8" ht="24" customHeight="1">
      <x:c r="A8" s="2"/>
      <x:c r="B8" s="2" t="str">
        <x:v>Operating EBITDA</x:v>
      </x:c>
      <x:c r="C8" s="3"/>
      <x:c r="D8" s="28" t="n">
        <x:f>'Torrent forecast'!D18</x:f>
        <x:v>4087.8292975000004</x:v>
      </x:c>
      <x:c r="E8" s="28" t="n">
        <x:f>'Torrent forecast'!E18</x:f>
        <x:v>4534.93954353</x:v>
      </x:c>
      <x:c r="F8" s="28" t="n">
        <x:f>'Torrent forecast'!F18</x:f>
        <x:v>5005.068294911452</x:v>
      </x:c>
      <x:c r="G8" s="28" t="n">
        <x:f>'Torrent forecast'!G18</x:f>
        <x:v>5502.39421207035</x:v>
      </x:c>
      <x:c r="H8" s="28" t="n">
        <x:f>'Torrent forecast'!H18</x:f>
        <x:v>6016.955776862863</x:v>
      </x:c>
      <x:c r="I8" s="2"/>
      <x:c r="J8" s="2"/>
    </x:row>
    <x:row r="9" ht="24" customHeight="1">
      <x:c r="A9" s="2"/>
      <x:c r="B9" s="2" t="str">
        <x:v>Total depreciation and amortisation</x:v>
      </x:c>
      <x:c r="C9" s="3"/>
      <x:c r="D9" s="28" t="n">
        <x:f>'Torrent forecast'!D20</x:f>
        <x:v>855.2996684000002</x:v>
      </x:c>
      <x:c r="E9" s="28" t="n">
        <x:f>'Torrent forecast'!E20</x:f>
        <x:v>893.2456676650002</x:v>
      </x:c>
      <x:c r="F9" s="28" t="n">
        <x:f>'Torrent forecast'!F20</x:f>
        <x:v>926.3111471179402</x:v>
      </x:c>
      <x:c r="G9" s="28" t="n">
        <x:f>'Torrent forecast'!G20</x:f>
        <x:v>971.0107433065323</x:v>
      </x:c>
      <x:c r="H9" s="28" t="n">
        <x:f>'Torrent forecast'!H20</x:f>
        <x:v>1011.5461885740466</x:v>
      </x:c>
      <x:c r="I9" s="2"/>
      <x:c r="J9" s="2"/>
    </x:row>
    <x:row r="10" ht="24" customHeight="1">
      <x:c r="A10" s="2"/>
      <x:c r="B10" s="2" t="str">
        <x:v>Reported-basis operating EBIT</x:v>
      </x:c>
      <x:c r="C10" s="3"/>
      <x:c r="D10" s="3" t="n">
        <x:f>D8-D9</x:f>
        <x:v>3232.5296291000004</x:v>
      </x:c>
      <x:c r="E10" s="3" t="n">
        <x:f>E8-E9</x:f>
        <x:v>3641.6938758650003</x:v>
      </x:c>
      <x:c r="F10" s="3" t="n">
        <x:f>F8-F9</x:f>
        <x:v>4078.7571477935116</x:v>
      </x:c>
      <x:c r="G10" s="3" t="n">
        <x:f>G8-G9</x:f>
        <x:v>4531.383468763817</x:v>
      </x:c>
      <x:c r="H10" s="3" t="n">
        <x:f>H8-H9</x:f>
        <x:v>5005.409588288816</x:v>
      </x:c>
      <x:c r="I10" s="2"/>
      <x:c r="J10" s="2"/>
    </x:row>
    <x:row r="11" ht="24" customHeight="1">
      <x:c r="A11" s="2"/>
      <x:c r="B11" s="2" t="str">
        <x:v>Add: ROU depreciation</x:v>
      </x:c>
      <x:c r="C11" s="3"/>
      <x:c r="D11" s="28" t="n">
        <x:f>D7*'Valuation inputs'!$D$27</x:f>
        <x:v>26.475060190741825</x:v>
      </x:c>
      <x:c r="E11" s="28" t="n">
        <x:f>E7*'Valuation inputs'!$D$27</x:f>
        <x:v>28.925783215817177</x:v>
      </x:c>
      <x:c r="F11" s="28" t="n">
        <x:f>F7*'Valuation inputs'!$D$27</x:f>
        <x:v>31.447980826684134</x:v>
      </x:c>
      <x:c r="G11" s="28" t="n">
        <x:f>G7*'Valuation inputs'!$D$27</x:f>
        <x:v>34.064369095399485</x:v>
      </x:c>
      <x:c r="H11" s="28" t="n">
        <x:f>H7*'Valuation inputs'!$D$27</x:f>
        <x:v>36.710076511892744</x:v>
      </x:c>
      <x:c r="I11" s="2"/>
      <x:c r="J11" s="2"/>
    </x:row>
    <x:row r="12" ht="24" customHeight="1">
      <x:c r="A12" s="2"/>
      <x:c r="B12" s="2" t="str">
        <x:v>Less: financed leases as cash rentals</x:v>
      </x:c>
      <x:c r="C12" s="3"/>
      <x:c r="D12" s="28" t="n">
        <x:f>D7*'Valuation inputs'!$D$28</x:f>
        <x:v>29.75167655098215</x:v>
      </x:c>
      <x:c r="E12" s="28" t="n">
        <x:f>E7*'Valuation inputs'!$D$28</x:f>
        <x:v>32.50570688114109</x:v>
      </x:c>
      <x:c r="F12" s="28" t="n">
        <x:f>F7*'Valuation inputs'!$D$28</x:f>
        <x:v>35.340057661669796</x:v>
      </x:c>
      <x:c r="G12" s="28" t="n">
        <x:f>G7*'Valuation inputs'!$D$28</x:f>
        <x:v>38.2802563596816</x:v>
      </x:c>
      <x:c r="H12" s="28" t="n">
        <x:f>H7*'Valuation inputs'!$D$28</x:f>
        <x:v>41.253402812869574</x:v>
      </x:c>
      <x:c r="I12" s="2"/>
      <x:c r="J12" s="2"/>
    </x:row>
    <x:row r="13" ht="24" customHeight="1">
      <x:c r="A13" s="2"/>
      <x:c r="B13" s="162" t="str">
        <x:v>Operating EBIT after lease conversion</x:v>
      </x:c>
      <x:c r="C13" s="155"/>
      <x:c r="D13" s="155" t="n">
        <x:f>D10+D11-D12</x:f>
        <x:v>3229.25301273976</x:v>
      </x:c>
      <x:c r="E13" s="155" t="n">
        <x:f>E10+E11-E12</x:f>
        <x:v>3638.1139521996765</x:v>
      </x:c>
      <x:c r="F13" s="155" t="n">
        <x:f>F10+F11-F12</x:f>
        <x:v>4074.865070958526</x:v>
      </x:c>
      <x:c r="G13" s="155" t="n">
        <x:f>G10+G11-G12</x:f>
        <x:v>4527.167581499535</x:v>
      </x:c>
      <x:c r="H13" s="155" t="n">
        <x:f>H10+H11-H12</x:f>
        <x:v>5000.86626198784</x:v>
      </x:c>
      <x:c r="I13" s="2"/>
      <x:c r="J13" s="2"/>
    </x:row>
    <x:row r="14" ht="24" customHeight="1">
      <x:c r="A14" s="2"/>
      <x:c r="B14" s="2" t="str">
        <x:v>Operating tax rate</x:v>
      </x:c>
      <x:c r="C14" s="3"/>
      <x:c r="D14" s="76" t="n">
        <x:f>'Torrent forecast'!D22</x:f>
        <x:v>0.28</x:v>
      </x:c>
      <x:c r="E14" s="76" t="n">
        <x:f>'Torrent forecast'!E22</x:f>
        <x:v>0.28</x:v>
      </x:c>
      <x:c r="F14" s="76" t="n">
        <x:f>'Torrent forecast'!F22</x:f>
        <x:v>0.28</x:v>
      </x:c>
      <x:c r="G14" s="76" t="n">
        <x:f>'Torrent forecast'!G22</x:f>
        <x:v>0.28</x:v>
      </x:c>
      <x:c r="H14" s="76" t="n">
        <x:f>'Torrent forecast'!H22</x:f>
        <x:v>0.28</x:v>
      </x:c>
      <x:c r="I14" s="2"/>
      <x:c r="J14" s="2"/>
    </x:row>
    <x:row r="15" ht="24" customHeight="1">
      <x:c r="A15" s="2"/>
      <x:c r="B15" s="162" t="str">
        <x:v>Net operating profit after tax</x:v>
      </x:c>
      <x:c r="C15" s="155"/>
      <x:c r="D15" s="155" t="n">
        <x:f>D13*(1-D14)</x:f>
        <x:v>2325.062169172627</x:v>
      </x:c>
      <x:c r="E15" s="155" t="n">
        <x:f>E13*(1-E14)</x:f>
        <x:v>2619.442045583767</x:v>
      </x:c>
      <x:c r="F15" s="155" t="n">
        <x:f>F13*(1-F14)</x:f>
        <x:v>2933.9028510901385</x:v>
      </x:c>
      <x:c r="G15" s="155" t="n">
        <x:f>G13*(1-G14)</x:f>
        <x:v>3259.5606586796653</x:v>
      </x:c>
      <x:c r="H15" s="155" t="n">
        <x:f>H13*(1-H14)</x:f>
        <x:v>3600.6237086312444</x:v>
      </x:c>
      <x:c r="I15" s="2"/>
      <x:c r="J15" s="2"/>
    </x:row>
    <x:row r="16" ht="24" customHeight="1">
      <x:c r="A16" s="2"/>
      <x:c r="B16" s="2" t="str">
        <x:v>Add: D&amp;A excluding ROU depreciation</x:v>
      </x:c>
      <x:c r="C16" s="3"/>
      <x:c r="D16" s="3" t="n">
        <x:f>D9-D11</x:f>
        <x:v>828.8246082092584</x:v>
      </x:c>
      <x:c r="E16" s="3" t="n">
        <x:f>E9-E11</x:f>
        <x:v>864.319884449183</x:v>
      </x:c>
      <x:c r="F16" s="3" t="n">
        <x:f>F9-F11</x:f>
        <x:v>894.8631662912561</x:v>
      </x:c>
      <x:c r="G16" s="3" t="n">
        <x:f>G9-G11</x:f>
        <x:v>936.9463742111328</x:v>
      </x:c>
      <x:c r="H16" s="3" t="n">
        <x:f>H9-H11</x:f>
        <x:v>974.8361120621538</x:v>
      </x:c>
      <x:c r="I16" s="2"/>
      <x:c r="J16" s="2"/>
    </x:row>
    <x:row r="17" ht="24" customHeight="1">
      <x:c r="A17" s="2"/>
      <x:c r="B17" s="2" t="str">
        <x:v>Less: recurring capital expenditure</x:v>
      </x:c>
      <x:c r="C17" s="3"/>
      <x:c r="D17" s="28" t="n">
        <x:f>'Torrent forecast'!D39</x:f>
        <x:v>628.8968150000001</x:v>
      </x:c>
      <x:c r="E17" s="28" t="n">
        <x:f>'Torrent forecast'!E39</x:f>
        <x:v>687.1120520500001</x:v>
      </x:c>
      <x:c r="F17" s="28" t="n">
        <x:f>'Torrent forecast'!F39</x:f>
        <x:v>717.1441138977602</x:v>
      </x:c>
      <x:c r="G17" s="28" t="n">
        <x:f>'Torrent forecast'!G39</x:f>
        <x:v>728.2580574798992</x:v>
      </x:c>
      <x:c r="H17" s="28" t="n">
        <x:f>'Torrent forecast'!H39</x:f>
        <x:v>784.8203187212431</x:v>
      </x:c>
      <x:c r="I17" s="2"/>
      <x:c r="J17" s="2"/>
    </x:row>
    <x:row r="18" ht="24" customHeight="1">
      <x:c r="A18" s="2"/>
      <x:c r="B18" s="2" t="str">
        <x:v>Less: increase / (release) in trade WC</x:v>
      </x:c>
      <x:c r="C18" s="3"/>
      <x:c r="D18" s="28" t="n">
        <x:f>'Torrent forecast'!D35</x:f>
        <x:v>242.35566750000135</x:v>
      </x:c>
      <x:c r="E18" s="28" t="n">
        <x:f>'Torrent forecast'!E35</x:f>
        <x:v>165.7728794379991</x:v>
      </x:c>
      <x:c r="F18" s="28" t="n">
        <x:f>'Torrent forecast'!F35</x:f>
        <x:v>141.69695136470045</x:v>
      </x:c>
      <x:c r="G18" s="28" t="n">
        <x:f>'Torrent forecast'!G35</x:f>
        <x:v>147.7475165510673</x:v>
      </x:c>
      <x:c r="H18" s="28" t="n">
        <x:f>'Torrent forecast'!H35</x:f>
        <x:v>115.6350329382858</x:v>
      </x:c>
      <x:c r="I18" s="2"/>
      <x:c r="J18" s="2"/>
    </x:row>
    <x:row r="19" ht="24" customHeight="1">
      <x:c r="A19" s="2"/>
      <x:c r="B19" s="2" t="str">
        <x:v>Less: increase / (release) in other WC</x:v>
      </x:c>
      <x:c r="C19" s="3"/>
      <x:c r="D19" s="28" t="n">
        <x:f>(D7-'Torrent history'!G7)*'Valuation inputs'!$D$29</x:f>
        <x:v>0</x:v>
      </x:c>
      <x:c r="E19" s="28" t="n">
        <x:f>(E7-D7)*'Valuation inputs'!$D$29</x:f>
        <x:v>0</x:v>
      </x:c>
      <x:c r="F19" s="28" t="n">
        <x:f>(F7-E7)*'Valuation inputs'!$D$29</x:f>
        <x:v>0</x:v>
      </x:c>
      <x:c r="G19" s="28" t="n">
        <x:f>(G7-F7)*'Valuation inputs'!$D$29</x:f>
        <x:v>0</x:v>
      </x:c>
      <x:c r="H19" s="28" t="n">
        <x:f>(H7-G7)*'Valuation inputs'!$D$29</x:f>
        <x:v>0</x:v>
      </x:c>
      <x:c r="I19" s="2"/>
      <x:c r="J19" s="2"/>
    </x:row>
    <x:row r="20" ht="24" customHeight="1">
      <x:c r="A20" s="2"/>
      <x:c r="B20" s="162" t="str">
        <x:v>Full-year unlevered cash flow</x:v>
      </x:c>
      <x:c r="C20" s="155"/>
      <x:c r="D20" s="155" t="n">
        <x:f>D15+D16-D17-D18-D19</x:f>
        <x:v>2282.6342948818838</x:v>
      </x:c>
      <x:c r="E20" s="155" t="n">
        <x:f>E15+E16-E17-E18-E19</x:f>
        <x:v>2630.8769985449508</x:v>
      </x:c>
      <x:c r="F20" s="155" t="n">
        <x:f>F15+F16-F17-F18-F19</x:f>
        <x:v>2969.924952118934</x:v>
      </x:c>
      <x:c r="G20" s="155" t="n">
        <x:f>G15+G16-G17-G18-G19</x:f>
        <x:v>3320.501458859831</x:v>
      </x:c>
      <x:c r="H20" s="155" t="n">
        <x:f>H15+H16-H17-H18-H19</x:f>
        <x:v>3675.004469033869</x:v>
      </x:c>
      <x:c r="I20" s="2"/>
      <x:c r="J20" s="2"/>
    </x:row>
    <x:row r="21" ht="24" customHeight="1">
      <x:c r="A21" s="2"/>
      <x:c r="B21" s="2" t="str">
        <x:v>Fraction of year included</x:v>
      </x:c>
      <x:c r="C21" s="3"/>
      <x:c r="D21" s="76" t="n">
        <x:f>'Valuation inputs'!$C$10</x:f>
        <x:v>0.7534246575342466</x:v>
      </x:c>
      <x:c r="E21" s="29" t="n">
        <x:f>1</x:f>
        <x:v>1</x:v>
      </x:c>
      <x:c r="F21" s="29" t="n">
        <x:f>1</x:f>
        <x:v>1</x:v>
      </x:c>
      <x:c r="G21" s="29" t="n">
        <x:f>1</x:f>
        <x:v>1</x:v>
      </x:c>
      <x:c r="H21" s="29" t="n">
        <x:f>1</x:f>
        <x:v>1</x:v>
      </x:c>
      <x:c r="I21" s="2"/>
      <x:c r="J21" s="2"/>
    </x:row>
    <x:row r="22" ht="24" customHeight="1">
      <x:c r="A22" s="2"/>
      <x:c r="B22" s="162" t="str">
        <x:v>Cash flow included in valuation</x:v>
      </x:c>
      <x:c r="C22" s="155"/>
      <x:c r="D22" s="155" t="n">
        <x:f>D20*D21</x:f>
        <x:v>1719.7929618973096</x:v>
      </x:c>
      <x:c r="E22" s="155" t="n">
        <x:f>E20*E21</x:f>
        <x:v>2630.8769985449508</x:v>
      </x:c>
      <x:c r="F22" s="155" t="n">
        <x:f>F20*F21</x:f>
        <x:v>2969.924952118934</x:v>
      </x:c>
      <x:c r="G22" s="155" t="n">
        <x:f>G20*G21</x:f>
        <x:v>3320.501458859831</x:v>
      </x:c>
      <x:c r="H22" s="155" t="n">
        <x:f>H20*H21</x:f>
        <x:v>3675.004469033869</x:v>
      </x:c>
      <x:c r="I22" s="2"/>
      <x:c r="J22" s="2"/>
    </x:row>
    <x:row r="23" ht="24" customHeight="1">
      <x:c r="A23" s="2"/>
      <x:c r="B23" s="2" t="str">
        <x:v>Years from valuation date</x:v>
      </x:c>
      <x:c r="C23" s="3"/>
      <x:c r="D23" s="158" t="n">
        <x:f>'Valuation inputs'!$C$10</x:f>
        <x:v>0.7534246575342466</x:v>
      </x:c>
      <x:c r="E23" s="159" t="n">
        <x:f>D23+1</x:f>
        <x:v>1.7534246575342465</x:v>
      </x:c>
      <x:c r="F23" s="159" t="n">
        <x:f>E23+1</x:f>
        <x:v>2.7534246575342465</x:v>
      </x:c>
      <x:c r="G23" s="159" t="n">
        <x:f>F23+1</x:f>
        <x:v>3.7534246575342465</x:v>
      </x:c>
      <x:c r="H23" s="159" t="n">
        <x:f>G23+1</x:f>
        <x:v>4.7534246575342465</x:v>
      </x:c>
      <x:c r="I23" s="2"/>
      <x:c r="J23" s="2"/>
    </x:row>
    <x:row r="24" ht="24" customHeight="1">
      <x:c r="A24" s="2"/>
      <x:c r="B24" s="2" t="str">
        <x:v>Discount factor at selected WACC</x:v>
      </x:c>
      <x:c r="C24" s="3"/>
      <x:c r="D24" s="29" t="n">
        <x:f>1/(1+$D$28)^D23</x:f>
        <x:v>0.9210364294629289</x:v>
      </x:c>
      <x:c r="E24" s="29" t="n">
        <x:f>1/(1+$D$28)^E23</x:f>
        <x:v>0.8257762530182317</x:v>
      </x:c>
      <x:c r="F24" s="29" t="n">
        <x:f>1/(1+$D$28)^F23</x:f>
        <x:v>0.7403685654936155</x:v>
      </x:c>
      <x:c r="G24" s="29" t="n">
        <x:f>1/(1+$D$28)^G23</x:f>
        <x:v>0.6637943520022392</x:v>
      </x:c>
      <x:c r="H24" s="29" t="n">
        <x:f>1/(1+$D$28)^H23</x:f>
        <x:v>0.5951399914666856</x:v>
      </x:c>
      <x:c r="I24" s="2"/>
      <x:c r="J24" s="2"/>
    </x:row>
    <x:row r="25" ht="24" customHeight="1">
      <x:c r="A25" s="2"/>
      <x:c r="B25" s="162" t="str">
        <x:v>Present value of cash flow</x:v>
      </x:c>
      <x:c r="C25" s="155"/>
      <x:c r="D25" s="155" t="n">
        <x:f>D22*D24</x:f>
        <x:v>1583.9919690413728</x:v>
      </x:c>
      <x:c r="E25" s="155" t="n">
        <x:f>E22*E24</x:f>
        <x:v>2172.515750010301</x:v>
      </x:c>
      <x:c r="F25" s="155" t="n">
        <x:f>F22*F24</x:f>
        <x:v>2198.83907642399</x:v>
      </x:c>
      <x:c r="G25" s="155" t="n">
        <x:f>G22*G24</x:f>
        <x:v>2204.1301142063517</x:v>
      </x:c>
      <x:c r="H25" s="155" t="n">
        <x:f>H22*H24</x:f>
        <x:v>2187.1421283408486</x:v>
      </x:c>
      <x:c r="I25" s="2"/>
      <x:c r="J25" s="2"/>
    </x:row>
    <x:row r="26" ht="24" customHeight="1">
      <x:c r="A26" s="2"/>
      <x:c r="B26" s="2"/>
      <x:c r="C26" s="3"/>
      <x:c r="D26" s="3"/>
      <x:c r="E26" s="3"/>
      <x:c r="F26" s="3"/>
      <x:c r="G26" s="3"/>
      <x:c r="H26" s="3"/>
      <x:c r="I26" s="2"/>
      <x:c r="J26" s="2"/>
    </x:row>
    <x:row r="27" ht="27" customHeight="1">
      <x:c r="A27" s="2"/>
      <x:c r="B27" s="137" t="str">
        <x:v>TERMINAL VALUE — SUSTAINABLE REINVESTMENT</x:v>
      </x:c>
      <x:c r="C27" s="141"/>
      <x:c r="D27" s="141"/>
      <x:c r="E27" s="141"/>
      <x:c r="F27" s="141"/>
      <x:c r="G27" s="141"/>
      <x:c r="H27" s="141"/>
      <x:c r="I27" s="2"/>
      <x:c r="J27" s="2"/>
    </x:row>
    <x:row r="28" ht="24" customHeight="1">
      <x:c r="A28" s="2"/>
      <x:c r="B28" s="2" t="str">
        <x:v>Selected WACC</x:v>
      </x:c>
      <x:c r="C28" s="3"/>
      <x:c r="D28" s="76" t="n">
        <x:f>'Valuation inputs'!$D$21</x:f>
        <x:v>0.115358338407673</x:v>
      </x:c>
      <x:c r="E28" s="3"/>
      <x:c r="F28" s="3"/>
      <x:c r="G28" s="3"/>
      <x:c r="H28" s="3"/>
      <x:c r="I28" s="2"/>
      <x:c r="J28" s="2"/>
    </x:row>
    <x:row r="29" ht="24" customHeight="1">
      <x:c r="A29" s="2"/>
      <x:c r="B29" s="2" t="str">
        <x:v>Terminal nominal growth</x:v>
      </x:c>
      <x:c r="C29" s="3"/>
      <x:c r="D29" s="76" t="n">
        <x:f>'Valuation inputs'!$D$23</x:f>
        <x:v>0.04</x:v>
      </x:c>
      <x:c r="E29" s="3"/>
      <x:c r="F29" s="3"/>
      <x:c r="G29" s="3"/>
      <x:c r="H29" s="3"/>
      <x:c r="I29" s="2"/>
      <x:c r="J29" s="2"/>
    </x:row>
    <x:row r="30" ht="24" customHeight="1">
      <x:c r="A30" s="2"/>
      <x:c r="B30" s="2" t="str">
        <x:v>Terminal return on invested capital</x:v>
      </x:c>
      <x:c r="C30" s="3"/>
      <x:c r="D30" s="76" t="n">
        <x:f>'Valuation inputs'!$D$24</x:f>
        <x:v>0.15</x:v>
      </x:c>
      <x:c r="E30" s="3"/>
      <x:c r="F30" s="3"/>
      <x:c r="G30" s="3"/>
      <x:c r="H30" s="3"/>
      <x:c r="I30" s="2"/>
      <x:c r="J30" s="2"/>
    </x:row>
    <x:row r="31" ht="24" customHeight="1">
      <x:c r="A31" s="2"/>
      <x:c r="B31" s="2" t="str">
        <x:v>Terminal reinvestment / NOPAT</x:v>
      </x:c>
      <x:c r="C31" s="3"/>
      <x:c r="D31" s="29" t="n">
        <x:f>IF(AND(D30&gt;D29,D29&gt;=0),D29/D30,NA())</x:f>
        <x:v>0.26666666666666666</x:v>
      </x:c>
      <x:c r="E31" s="3"/>
      <x:c r="F31" s="3"/>
      <x:c r="G31" s="3"/>
      <x:c r="H31" s="3"/>
      <x:c r="I31" s="2"/>
      <x:c r="J31" s="2"/>
    </x:row>
    <x:row r="32" ht="24" customHeight="1">
      <x:c r="A32" s="2"/>
      <x:c r="B32" s="2" t="str">
        <x:v>FY31 normalised NOPAT</x:v>
      </x:c>
      <x:c r="C32" s="3"/>
      <x:c r="D32" s="3" t="n">
        <x:f>H15*(1+D29)</x:f>
        <x:v>3744.6486569764943</x:v>
      </x:c>
      <x:c r="E32" s="3"/>
      <x:c r="F32" s="3"/>
      <x:c r="G32" s="3"/>
      <x:c r="H32" s="3"/>
      <x:c r="I32" s="2"/>
      <x:c r="J32" s="2"/>
    </x:row>
    <x:row r="33" ht="24" customHeight="1">
      <x:c r="A33" s="2"/>
      <x:c r="B33" s="2" t="str">
        <x:v>FY31 reinvestment cash</x:v>
      </x:c>
      <x:c r="C33" s="3"/>
      <x:c r="D33" s="3" t="n">
        <x:f>D32*D31</x:f>
        <x:v>998.5729751937318</x:v>
      </x:c>
      <x:c r="E33" s="3"/>
      <x:c r="F33" s="3"/>
      <x:c r="G33" s="3"/>
      <x:c r="H33" s="3"/>
      <x:c r="I33" s="2"/>
      <x:c r="J33" s="2"/>
    </x:row>
    <x:row r="34" ht="24" customHeight="1">
      <x:c r="A34" s="2"/>
      <x:c r="B34" s="162" t="str">
        <x:v>FY31 normalised free cash flow</x:v>
      </x:c>
      <x:c r="C34" s="155"/>
      <x:c r="D34" s="155" t="n">
        <x:f>D32-D33</x:f>
        <x:v>2746.0756817827623</x:v>
      </x:c>
      <x:c r="E34" s="155"/>
      <x:c r="F34" s="155"/>
      <x:c r="G34" s="155"/>
      <x:c r="H34" s="155"/>
      <x:c r="I34" s="2"/>
      <x:c r="J34" s="2"/>
    </x:row>
    <x:row r="35" ht="24" customHeight="1">
      <x:c r="A35" s="2"/>
      <x:c r="B35" s="2" t="str">
        <x:v>Terminal enterprise value at FY30 end</x:v>
      </x:c>
      <x:c r="C35" s="3"/>
      <x:c r="D35" s="3" t="n">
        <x:f>IF(D28&gt;D29,D34/(D28-D29),NA())</x:f>
        <x:v>36440.23660563031</x:v>
      </x:c>
      <x:c r="E35" s="3"/>
      <x:c r="F35" s="3"/>
      <x:c r="G35" s="3"/>
      <x:c r="H35" s="3"/>
      <x:c r="I35" s="2"/>
      <x:c r="J35" s="2"/>
    </x:row>
    <x:row r="36" ht="24" customHeight="1">
      <x:c r="A36" s="2"/>
      <x:c r="B36" s="2" t="str">
        <x:v>Present value of terminal value</x:v>
      </x:c>
      <x:c r="C36" s="3"/>
      <x:c r="D36" s="3" t="n">
        <x:f>D35*H24</x:f>
        <x:v>21687.042102518826</x:v>
      </x:c>
      <x:c r="E36" s="3"/>
      <x:c r="F36" s="3"/>
      <x:c r="G36" s="3"/>
      <x:c r="H36" s="3"/>
      <x:c r="I36" s="2"/>
      <x:c r="J36" s="2"/>
    </x:row>
    <x:row r="37" ht="24" customHeight="1">
      <x:c r="A37" s="2"/>
      <x:c r="B37" s="2" t="str">
        <x:v>Present value of explicit cash flows</x:v>
      </x:c>
      <x:c r="C37" s="3"/>
      <x:c r="D37" s="3" t="n">
        <x:f>SUM(D25:H25)</x:f>
        <x:v>10346.619038022864</x:v>
      </x:c>
      <x:c r="E37" s="3"/>
      <x:c r="F37" s="3"/>
      <x:c r="G37" s="3"/>
      <x:c r="H37" s="3"/>
      <x:c r="I37" s="2"/>
      <x:c r="J37" s="2"/>
    </x:row>
    <x:row r="38" ht="24" customHeight="1">
      <x:c r="A38" s="2"/>
      <x:c r="B38" s="162" t="str">
        <x:v>Standalone enterprise value</x:v>
      </x:c>
      <x:c r="C38" s="155"/>
      <x:c r="D38" s="155" t="n">
        <x:f>SUM(D36:D37)</x:f>
        <x:v>32033.66114054169</x:v>
      </x:c>
      <x:c r="E38" s="155"/>
      <x:c r="F38" s="155"/>
      <x:c r="G38" s="155"/>
      <x:c r="H38" s="155"/>
      <x:c r="I38" s="2"/>
      <x:c r="J38" s="2"/>
    </x:row>
    <x:row r="39" ht="24" customHeight="1">
      <x:c r="A39" s="2"/>
      <x:c r="B39" s="2" t="str">
        <x:v>Terminal value / enterprise value</x:v>
      </x:c>
      <x:c r="C39" s="3"/>
      <x:c r="D39" s="29" t="n">
        <x:f>D36/D38</x:f>
        <x:v>0.6770079138744394</x:v>
      </x:c>
      <x:c r="E39" s="3"/>
      <x:c r="F39" s="3"/>
      <x:c r="G39" s="3"/>
      <x:c r="H39" s="3"/>
      <x:c r="I39" s="2"/>
      <x:c r="J39" s="2"/>
    </x:row>
    <x:row r="40" ht="24" customHeight="1">
      <x:c r="A40" s="2"/>
      <x:c r="B40" s="2"/>
      <x:c r="C40" s="3"/>
      <x:c r="D40" s="3"/>
      <x:c r="E40" s="3"/>
      <x:c r="F40" s="3"/>
      <x:c r="G40" s="3"/>
      <x:c r="H40" s="3"/>
      <x:c r="I40" s="2"/>
      <x:c r="J40" s="2"/>
    </x:row>
    <x:row r="41" ht="27" customHeight="1">
      <x:c r="A41" s="2"/>
      <x:c r="B41" s="137" t="str">
        <x:v>ENTERPRISE VALUE TO EQUITY VALUE</x:v>
      </x:c>
      <x:c r="C41" s="141"/>
      <x:c r="D41" s="141"/>
      <x:c r="E41" s="141"/>
      <x:c r="F41" s="141"/>
      <x:c r="G41" s="141"/>
      <x:c r="H41" s="141"/>
      <x:c r="I41" s="2"/>
      <x:c r="J41" s="2"/>
    </x:row>
    <x:row r="42" ht="24" customHeight="1">
      <x:c r="A42" s="2"/>
      <x:c r="B42" s="2" t="str">
        <x:v>Gross borrowings, excluding leases</x:v>
      </x:c>
      <x:c r="C42" s="3"/>
      <x:c r="D42" s="28" t="n">
        <x:f>'Torrent history'!G43</x:f>
        <x:v>3026.09</x:v>
      </x:c>
      <x:c r="E42" s="3"/>
      <x:c r="F42" s="3"/>
      <x:c r="G42" s="3"/>
      <x:c r="H42" s="3"/>
      <x:c r="I42" s="2"/>
      <x:c r="J42" s="2"/>
    </x:row>
    <x:row r="43" ht="24" customHeight="1">
      <x:c r="A43" s="2"/>
      <x:c r="B43" s="2" t="str">
        <x:v>Cash and current investments</x:v>
      </x:c>
      <x:c r="C43" s="3"/>
      <x:c r="D43" s="28" t="n">
        <x:f>'Torrent history'!G41+'Torrent history'!G42</x:f>
        <x:v>685.69</x:v>
      </x:c>
      <x:c r="E43" s="3"/>
      <x:c r="F43" s="3"/>
      <x:c r="G43" s="3"/>
      <x:c r="H43" s="3"/>
      <x:c r="I43" s="2"/>
      <x:c r="J43" s="2"/>
    </x:row>
    <x:row r="44" ht="24" customHeight="1">
      <x:c r="A44" s="2"/>
      <x:c r="B44" s="2" t="str">
        <x:v>Less: operating liquidity retained</x:v>
      </x:c>
      <x:c r="C44" s="3"/>
      <x:c r="D44" s="28" t="n">
        <x:f>'Valuation inputs'!$D$31</x:f>
        <x:v>100</x:v>
      </x:c>
      <x:c r="E44" s="3"/>
      <x:c r="F44" s="3"/>
      <x:c r="G44" s="3"/>
      <x:c r="H44" s="3"/>
      <x:c r="I44" s="2"/>
      <x:c r="J44" s="2"/>
    </x:row>
    <x:row r="45" ht="24" customHeight="1">
      <x:c r="A45" s="2"/>
      <x:c r="B45" s="2" t="str">
        <x:v>Excess liquid assets added</x:v>
      </x:c>
      <x:c r="C45" s="3"/>
      <x:c r="D45" s="3" t="n">
        <x:f>MAX(D43-D44,0)</x:f>
        <x:v>585.69</x:v>
      </x:c>
      <x:c r="E45" s="3"/>
      <x:c r="F45" s="3"/>
      <x:c r="G45" s="3"/>
      <x:c r="H45" s="3"/>
      <x:c r="I45" s="2"/>
      <x:c r="J45" s="2"/>
    </x:row>
    <x:row r="46" ht="24" customHeight="1">
      <x:c r="A46" s="2"/>
      <x:c r="B46" s="2" t="str">
        <x:v>Additional non-operating assets</x:v>
      </x:c>
      <x:c r="C46" s="3"/>
      <x:c r="D46" s="28" t="n">
        <x:f>'Valuation inputs'!$D$30</x:f>
        <x:v>0</x:v>
      </x:c>
      <x:c r="E46" s="3"/>
      <x:c r="F46" s="3"/>
      <x:c r="G46" s="3"/>
      <x:c r="H46" s="3"/>
      <x:c r="I46" s="2"/>
      <x:c r="J46" s="2"/>
    </x:row>
    <x:row r="47" ht="24" customHeight="1">
      <x:c r="A47" s="2"/>
      <x:c r="B47" s="2" t="str">
        <x:v>Other equity claims / adjustments</x:v>
      </x:c>
      <x:c r="C47" s="3"/>
      <x:c r="D47" s="28" t="n">
        <x:f>'Valuation inputs'!$D$32</x:f>
        <x:v>0</x:v>
      </x:c>
      <x:c r="E47" s="3"/>
      <x:c r="F47" s="3"/>
      <x:c r="G47" s="3"/>
      <x:c r="H47" s="3"/>
      <x:c r="I47" s="2"/>
      <x:c r="J47" s="2"/>
    </x:row>
    <x:row r="48" ht="24" customHeight="1">
      <x:c r="A48" s="2"/>
      <x:c r="B48" s="2" t="str">
        <x:v>Future ESOP exercise proceeds</x:v>
      </x:c>
      <x:c r="C48" s="3"/>
      <x:c r="D48" s="28" t="n">
        <x:f>'Valuation inputs'!$D$33</x:f>
        <x:v>0</x:v>
      </x:c>
      <x:c r="E48" s="3"/>
      <x:c r="F48" s="3"/>
      <x:c r="G48" s="3"/>
      <x:c r="H48" s="3"/>
      <x:c r="I48" s="2"/>
      <x:c r="J48" s="2"/>
    </x:row>
    <x:row r="49" ht="24" customHeight="1">
      <x:c r="A49" s="2"/>
      <x:c r="B49" s="162" t="str">
        <x:v>Standalone equity value</x:v>
      </x:c>
      <x:c r="C49" s="155"/>
      <x:c r="D49" s="155" t="n">
        <x:f>D38-D42+D45+D46-D47+D48</x:f>
        <x:v>29593.26114054169</x:v>
      </x:c>
      <x:c r="E49" s="155"/>
      <x:c r="F49" s="155"/>
      <x:c r="G49" s="155"/>
      <x:c r="H49" s="155"/>
      <x:c r="I49" s="2"/>
      <x:c r="J49" s="2"/>
    </x:row>
    <x:row r="50" ht="24" customHeight="1">
      <x:c r="A50" s="2"/>
      <x:c r="B50" s="2" t="str">
        <x:v>Shares for valuation (crore)</x:v>
      </x:c>
      <x:c r="C50" s="3"/>
      <x:c r="D50" s="158" t="n">
        <x:f>'Torrent history'!G75</x:f>
        <x:v>33.844544</x:v>
      </x:c>
      <x:c r="E50" s="3"/>
      <x:c r="F50" s="3"/>
      <x:c r="G50" s="3"/>
      <x:c r="H50" s="3"/>
      <x:c r="I50" s="2"/>
      <x:c r="J50" s="2"/>
    </x:row>
    <x:row r="51" ht="24" customHeight="1">
      <x:c r="A51" s="2"/>
      <x:c r="B51" s="162" t="str">
        <x:v>Standalone value per share (INR)</x:v>
      </x:c>
      <x:c r="C51" s="155"/>
      <x:c r="D51" s="165" t="n">
        <x:f>D49/D50</x:f>
        <x:v>874.3879409497049</x:v>
      </x:c>
      <x:c r="E51" s="155"/>
      <x:c r="F51" s="155"/>
      <x:c r="G51" s="155"/>
      <x:c r="H51" s="155"/>
      <x:c r="I51" s="2"/>
      <x:c r="J51" s="2"/>
    </x:row>
    <x:row r="52" ht="24" customHeight="1">
      <x:c r="A52" s="2"/>
      <x:c r="B52" s="2"/>
      <x:c r="C52" s="3"/>
      <x:c r="D52" s="3"/>
      <x:c r="E52" s="3"/>
      <x:c r="F52" s="3"/>
      <x:c r="G52" s="3"/>
      <x:c r="H52" s="3"/>
      <x:c r="I52" s="2"/>
      <x:c r="J52" s="2"/>
    </x:row>
    <x:row r="53" ht="27" customHeight="1">
      <x:c r="A53" s="2"/>
      <x:c r="B53" s="137" t="str">
        <x:v>VALUE PER SHARE — LIVE WACC / GROWTH SENSITIVITY</x:v>
      </x:c>
      <x:c r="C53" s="141"/>
      <x:c r="D53" s="141"/>
      <x:c r="E53" s="141"/>
      <x:c r="F53" s="141"/>
      <x:c r="G53" s="141"/>
      <x:c r="H53" s="141"/>
      <x:c r="I53" s="2"/>
      <x:c r="J53" s="2"/>
    </x:row>
    <x:row r="54" ht="24" customHeight="1">
      <x:c r="A54" s="2"/>
      <x:c r="B54" s="2"/>
      <x:c r="C54" s="3"/>
      <x:c r="D54" s="3"/>
      <x:c r="E54" s="3"/>
      <x:c r="F54" s="3"/>
      <x:c r="G54" s="3"/>
      <x:c r="H54" s="3"/>
      <x:c r="I54" s="2"/>
      <x:c r="J54" s="2"/>
    </x:row>
    <x:row r="55" ht="24" customHeight="1">
      <x:c r="A55" s="2"/>
      <x:c r="B55" s="2"/>
      <x:c r="C55" s="3" t="str">
        <x:v>WACC / growth</x:v>
      </x:c>
      <x:c r="D55" s="76" t="n">
        <x:f>$D$29+-2*'Valuation inputs'!$D$36</x:f>
        <x:v>0.03</x:v>
      </x:c>
      <x:c r="E55" s="76" t="n">
        <x:f>$D$29+-1*'Valuation inputs'!$D$36</x:f>
        <x:v>0.035</x:v>
      </x:c>
      <x:c r="F55" s="76" t="n">
        <x:f>$D$29+0*'Valuation inputs'!$D$36</x:f>
        <x:v>0.04</x:v>
      </x:c>
      <x:c r="G55" s="76" t="n">
        <x:f>$D$29+1*'Valuation inputs'!$D$36</x:f>
        <x:v>0.045</x:v>
      </x:c>
      <x:c r="H55" s="76" t="n">
        <x:f>$D$29+2*'Valuation inputs'!$D$36</x:f>
        <x:v>0.05</x:v>
      </x:c>
      <x:c r="I55" s="2"/>
      <x:c r="J55" s="2"/>
    </x:row>
    <x:row r="56" ht="24" customHeight="1">
      <x:c r="A56" s="2"/>
      <x:c r="B56" s="2"/>
      <x:c r="C56" s="76" t="n">
        <x:f>$D$28+-2*'Valuation inputs'!$D$35</x:f>
        <x:v>0.105358338407673</x:v>
      </x:c>
      <x:c r="D56" s="14" t="n">
        <x:f>IF(AND($C56&gt;D$55,D$55&gt;=0,$D$30&gt;D$55),(($D$22/(1+$C56)^$D$23+$E$22/(1+$C56)^$E$23+$F$22/(1+$C56)^$F$23+$G$22/(1+$C56)^$G$23+$H$22/(1+$C56)^$H$23)+$H$15*(1+D$55)*(1-D$55/$D$30)/($C56-D$55)/(1+$C56)^$H$23-$D$42+$D$45+$D$46-$D$47+$D$48)/$D$50,NA())</x:f>
        <x:v>964.238506901982</x:v>
      </x:c>
      <x:c r="E56" s="14" t="n">
        <x:f>IF(AND($C56&gt;E$55,E$55&gt;=0,$D$30&gt;E$55),(($D$22/(1+$C56)^$D$23+$E$22/(1+$C56)^$E$23+$F$22/(1+$C56)^$F$23+$G$22/(1+$C56)^$G$23+$H$22/(1+$C56)^$H$23)+$H$15*(1+E$55)*(1-E$55/$D$30)/($C56-E$55)/(1+$C56)^$H$23-$D$42+$D$45+$D$46-$D$47+$D$48)/$D$50,NA())</x:f>
        <x:v>986.94235848483</x:v>
      </x:c>
      <x:c r="F56" s="14" t="n">
        <x:f>IF(AND($C56&gt;F$55,F$55&gt;=0,$D$30&gt;F$55),(($D$22/(1+$C56)^$D$23+$E$22/(1+$C56)^$E$23+$F$22/(1+$C56)^$F$23+$G$22/(1+$C56)^$G$23+$H$22/(1+$C56)^$H$23)+$H$15*(1+F$55)*(1-F$55/$D$30)/($C56-F$55)/(1+$C56)^$H$23-$D$42+$D$45+$D$46-$D$47+$D$48)/$D$50,NA())</x:f>
        <x:v>1012.7829224439174</x:v>
      </x:c>
      <x:c r="G56" s="14" t="n">
        <x:f>IF(AND($C56&gt;G$55,G$55&gt;=0,$D$30&gt;G$55),(($D$22/(1+$C56)^$D$23+$E$22/(1+$C56)^$E$23+$F$22/(1+$C56)^$F$23+$G$22/(1+$C56)^$G$23+$H$22/(1+$C56)^$H$23)+$H$15*(1+G$55)*(1-G$55/$D$30)/($C56-G$55)/(1+$C56)^$H$23-$D$42+$D$45+$D$46-$D$47+$D$48)/$D$50,NA())</x:f>
        <x:v>1042.5397213255042</x:v>
      </x:c>
      <x:c r="H56" s="14" t="n">
        <x:f>IF(AND($C56&gt;H$55,H$55&gt;=0,$D$30&gt;H$55),(($D$22/(1+$C56)^$D$23+$E$22/(1+$C56)^$E$23+$F$22/(1+$C56)^$F$23+$G$22/(1+$C56)^$G$23+$H$22/(1+$C56)^$H$23)+$H$15*(1+H$55)*(1-H$55/$D$30)/($C56-H$55)/(1+$C56)^$H$23-$D$42+$D$45+$D$46-$D$47+$D$48)/$D$50,NA())</x:f>
        <x:v>1077.27390554572</x:v>
      </x:c>
      <x:c r="I56" s="2"/>
      <x:c r="J56" s="2"/>
    </x:row>
    <x:row r="57" ht="24" customHeight="1">
      <x:c r="A57" s="2"/>
      <x:c r="B57" s="2"/>
      <x:c r="C57" s="76" t="n">
        <x:f>$D$28+-1*'Valuation inputs'!$D$35</x:f>
        <x:v>0.11035833840767299</x:v>
      </x:c>
      <x:c r="D57" s="14" t="n">
        <x:f>IF(AND($C57&gt;D$55,D$55&gt;=0,$D$30&gt;D$55),(($D$22/(1+$C57)^$D$23+$E$22/(1+$C57)^$E$23+$F$22/(1+$C57)^$F$23+$G$22/(1+$C57)^$G$23+$H$22/(1+$C57)^$H$23)+$H$15*(1+D$55)*(1-D$55/$D$30)/($C57-D$55)/(1+$C57)^$H$23-$D$42+$D$45+$D$46-$D$47+$D$48)/$D$50,NA())</x:f>
        <x:v>900.8352591670846</x:v>
      </x:c>
      <x:c r="E57" s="14" t="n">
        <x:f>IF(AND($C57&gt;E$55,E$55&gt;=0,$D$30&gt;E$55),(($D$22/(1+$C57)^$D$23+$E$22/(1+$C57)^$E$23+$F$22/(1+$C57)^$F$23+$G$22/(1+$C57)^$G$23+$H$22/(1+$C57)^$H$23)+$H$15*(1+E$55)*(1-E$55/$D$30)/($C57-E$55)/(1+$C57)^$H$23-$D$42+$D$45+$D$46-$D$47+$D$48)/$D$50,NA())</x:f>
        <x:v>918.6629805240209</x:v>
      </x:c>
      <x:c r="F57" s="14" t="n">
        <x:f>IF(AND($C57&gt;F$55,F$55&gt;=0,$D$30&gt;F$55),(($D$22/(1+$C57)^$D$23+$E$22/(1+$C57)^$E$23+$F$22/(1+$C57)^$F$23+$G$22/(1+$C57)^$G$23+$H$22/(1+$C57)^$H$23)+$H$15*(1+F$55)*(1-F$55/$D$30)/($C57-F$55)/(1+$C57)^$H$23-$D$42+$D$45+$D$46-$D$47+$D$48)/$D$50,NA())</x:f>
        <x:v>938.7181073858045</x:v>
      </x:c>
      <x:c r="G57" s="14" t="n">
        <x:f>IF(AND($C57&gt;G$55,G$55&gt;=0,$D$30&gt;G$55),(($D$22/(1+$C57)^$D$23+$E$22/(1+$C57)^$E$23+$F$22/(1+$C57)^$F$23+$G$22/(1+$C57)^$G$23+$H$22/(1+$C57)^$H$23)+$H$15*(1+G$55)*(1-G$55/$D$30)/($C57-G$55)/(1+$C57)^$H$23-$D$42+$D$45+$D$46-$D$47+$D$48)/$D$50,NA())</x:f>
        <x:v>961.5118382220829</x:v>
      </x:c>
      <x:c r="H57" s="14" t="n">
        <x:f>IF(AND($C57&gt;H$55,H$55&gt;=0,$D$30&gt;H$55),(($D$22/(1+$C57)^$D$23+$E$22/(1+$C57)^$E$23+$F$22/(1+$C57)^$F$23+$G$22/(1+$C57)^$G$23+$H$22/(1+$C57)^$H$23)+$H$15*(1+H$55)*(1-H$55/$D$30)/($C57-H$55)/(1+$C57)^$H$23-$D$42+$D$45+$D$46-$D$47+$D$48)/$D$50,NA())</x:f>
        <x:v>987.7247593561575</x:v>
      </x:c>
      <x:c r="I57" s="2"/>
      <x:c r="J57" s="2"/>
    </x:row>
    <x:row r="58" ht="24" customHeight="1">
      <x:c r="A58" s="2"/>
      <x:c r="B58" s="2"/>
      <x:c r="C58" s="76" t="n">
        <x:f>$D$28+0*'Valuation inputs'!$D$35</x:f>
        <x:v>0.115358338407673</x:v>
      </x:c>
      <x:c r="D58" s="14" t="n">
        <x:f>IF(AND($C58&gt;D$55,D$55&gt;=0,$D$30&gt;D$55),(($D$22/(1+$C58)^$D$23+$E$22/(1+$C58)^$E$23+$F$22/(1+$C58)^$F$23+$G$22/(1+$C58)^$G$23+$H$22/(1+$C58)^$H$23)+$H$15*(1+D$55)*(1-D$55/$D$30)/($C58-D$55)/(1+$C58)^$H$23-$D$42+$D$45+$D$46-$D$47+$D$48)/$D$50,NA())</x:f>
        <x:v>844.8125561636107</x:v>
      </x:c>
      <x:c r="E58" s="14" t="n">
        <x:f>IF(AND($C58&gt;E$55,E$55&gt;=0,$D$30&gt;E$55),(($D$22/(1+$C58)^$D$23+$E$22/(1+$C58)^$E$23+$F$22/(1+$C58)^$F$23+$G$22/(1+$C58)^$G$23+$H$22/(1+$C58)^$H$23)+$H$15*(1+E$55)*(1-E$55/$D$30)/($C58-E$55)/(1+$C58)^$H$23-$D$42+$D$45+$D$46-$D$47+$D$48)/$D$50,NA())</x:f>
        <x:v>858.8114576916959</x:v>
      </x:c>
      <x:c r="F58" s="167" t="n">
        <x:f>IF(AND($C58&gt;F$55,F$55&gt;=0,$D$30&gt;F$55),(($D$22/(1+$C58)^$D$23+$E$22/(1+$C58)^$E$23+$F$22/(1+$C58)^$F$23+$G$22/(1+$C58)^$G$23+$H$22/(1+$C58)^$H$23)+$H$15*(1+F$55)*(1-F$55/$D$30)/($C58-F$55)/(1+$C58)^$H$23-$D$42+$D$45+$D$46-$D$47+$D$48)/$D$50,NA())</x:f>
        <x:v>874.3879409497049</x:v>
      </x:c>
      <x:c r="G58" s="14" t="n">
        <x:f>IF(AND($C58&gt;G$55,G$55&gt;=0,$D$30&gt;G$55),(($D$22/(1+$C58)^$D$23+$E$22/(1+$C58)^$E$23+$F$22/(1+$C58)^$F$23+$G$22/(1+$C58)^$G$23+$H$22/(1+$C58)^$H$23)+$H$15*(1+G$55)*(1-G$55/$D$30)/($C58-G$55)/(1+$C58)^$H$23-$D$42+$D$45+$D$46-$D$47+$D$48)/$D$50,NA())</x:f>
        <x:v>891.8783374441006</x:v>
      </x:c>
      <x:c r="H58" s="14" t="n">
        <x:f>IF(AND($C58&gt;H$55,H$55&gt;=0,$D$30&gt;H$55),(($D$22/(1+$C58)^$D$23+$E$22/(1+$C58)^$E$23+$F$22/(1+$C58)^$F$23+$G$22/(1+$C58)^$G$23+$H$22/(1+$C58)^$H$23)+$H$15*(1+H$55)*(1-H$55/$D$30)/($C58-H$55)/(1+$C58)^$H$23-$D$42+$D$45+$D$46-$D$47+$D$48)/$D$50,NA())</x:f>
        <x:v>911.721897915419</x:v>
      </x:c>
      <x:c r="I58" s="2"/>
      <x:c r="J58" s="2"/>
    </x:row>
    <x:row r="59" ht="24" customHeight="1">
      <x:c r="A59" s="2"/>
      <x:c r="B59" s="2"/>
      <x:c r="C59" s="76" t="n">
        <x:f>$D$28+1*'Valuation inputs'!$D$35</x:f>
        <x:v>0.120358338407673</x:v>
      </x:c>
      <x:c r="D59" s="14" t="n">
        <x:f>IF(AND($C59&gt;D$55,D$55&gt;=0,$D$30&gt;D$55),(($D$22/(1+$C59)^$D$23+$E$22/(1+$C59)^$E$23+$F$22/(1+$C59)^$F$23+$G$22/(1+$C59)^$G$23+$H$22/(1+$C59)^$H$23)+$H$15*(1+D$55)*(1-D$55/$D$30)/($C59-D$55)/(1+$C59)^$H$23-$D$42+$D$45+$D$46-$D$47+$D$48)/$D$50,NA())</x:f>
        <x:v>794.946894418692</x:v>
      </x:c>
      <x:c r="E59" s="14" t="n">
        <x:f>IF(AND($C59&gt;E$55,E$55&gt;=0,$D$30&gt;E$55),(($D$22/(1+$C59)^$D$23+$E$22/(1+$C59)^$E$23+$F$22/(1+$C59)^$F$23+$G$22/(1+$C59)^$G$23+$H$22/(1+$C59)^$H$23)+$H$15*(1+E$55)*(1-E$55/$D$30)/($C59-E$55)/(1+$C59)^$H$23-$D$42+$D$45+$D$46-$D$47+$D$48)/$D$50,NA())</x:f>
        <x:v>805.9090814581022</x:v>
      </x:c>
      <x:c r="F59" s="14" t="n">
        <x:f>IF(AND($C59&gt;F$55,F$55&gt;=0,$D$30&gt;F$55),(($D$22/(1+$C59)^$D$23+$E$22/(1+$C59)^$E$23+$F$22/(1+$C59)^$F$23+$G$22/(1+$C59)^$G$23+$H$22/(1+$C59)^$H$23)+$H$15*(1+F$55)*(1-F$55/$D$30)/($C59-F$55)/(1+$C59)^$H$23-$D$42+$D$45+$D$46-$D$47+$D$48)/$D$50,NA())</x:f>
        <x:v>817.978319493356</x:v>
      </x:c>
      <x:c r="G59" s="14" t="n">
        <x:f>IF(AND($C59&gt;G$55,G$55&gt;=0,$D$30&gt;G$55),(($D$22/(1+$C59)^$D$23+$E$22/(1+$C59)^$E$23+$F$22/(1+$C59)^$F$23+$G$22/(1+$C59)^$G$23+$H$22/(1+$C59)^$H$23)+$H$15*(1+G$55)*(1-G$55/$D$30)/($C59-G$55)/(1+$C59)^$H$23-$D$42+$D$45+$D$46-$D$47+$D$48)/$D$50,NA())</x:f>
        <x:v>831.3749658901882</x:v>
      </x:c>
      <x:c r="H59" s="14" t="n">
        <x:f>IF(AND($C59&gt;H$55,H$55&gt;=0,$D$30&gt;H$55),(($D$22/(1+$C59)^$D$23+$E$22/(1+$C59)^$E$23+$F$22/(1+$C59)^$F$23+$G$22/(1+$C59)^$G$23+$H$22/(1+$C59)^$H$23)+$H$15*(1+H$55)*(1-H$55/$D$30)/($C59-H$55)/(1+$C59)^$H$23-$D$42+$D$45+$D$46-$D$47+$D$48)/$D$50,NA())</x:f>
        <x:v>846.3820166072056</x:v>
      </x:c>
      <x:c r="I59" s="2"/>
      <x:c r="J59" s="2"/>
    </x:row>
    <x:row r="60" ht="24" customHeight="1">
      <x:c r="A60" s="2"/>
      <x:c r="B60" s="2"/>
      <x:c r="C60" s="76" t="n">
        <x:f>$D$28+2*'Valuation inputs'!$D$35</x:f>
        <x:v>0.125358338407673</x:v>
      </x:c>
      <x:c r="D60" s="14" t="n">
        <x:f>IF(AND($C60&gt;D$55,D$55&gt;=0,$D$30&gt;D$55),(($D$22/(1+$C60)^$D$23+$E$22/(1+$C60)^$E$23+$F$22/(1+$C60)^$F$23+$G$22/(1+$C60)^$G$23+$H$22/(1+$C60)^$H$23)+$H$15*(1+D$55)*(1-D$55/$D$30)/($C60-D$55)/(1+$C60)^$H$23-$D$42+$D$45+$D$46-$D$47+$D$48)/$D$50,NA())</x:f>
        <x:v>750.2713199034853</x:v>
      </x:c>
      <x:c r="E60" s="14" t="n">
        <x:f>IF(AND($C60&gt;E$55,E$55&gt;=0,$D$30&gt;E$55),(($D$22/(1+$C60)^$D$23+$E$22/(1+$C60)^$E$23+$F$22/(1+$C60)^$F$23+$G$22/(1+$C60)^$G$23+$H$22/(1+$C60)^$H$23)+$H$15*(1+E$55)*(1-E$55/$D$30)/($C60-E$55)/(1+$C60)^$H$23-$D$42+$D$45+$D$46-$D$47+$D$48)/$D$50,NA())</x:f>
        <x:v>758.8043603005573</x:v>
      </x:c>
      <x:c r="F60" s="14" t="n">
        <x:f>IF(AND($C60&gt;F$55,F$55&gt;=0,$D$30&gt;F$55),(($D$22/(1+$C60)^$D$23+$E$22/(1+$C60)^$E$23+$F$22/(1+$C60)^$F$23+$G$22/(1+$C60)^$G$23+$H$22/(1+$C60)^$H$23)+$H$15*(1+F$55)*(1-F$55/$D$30)/($C60-F$55)/(1+$C60)^$H$23-$D$42+$D$45+$D$46-$D$47+$D$48)/$D$50,NA())</x:f>
        <x:v>768.1000917692303</x:v>
      </x:c>
      <x:c r="G60" s="14" t="n">
        <x:f>IF(AND($C60&gt;G$55,G$55&gt;=0,$D$30&gt;G$55),(($D$22/(1+$C60)^$D$23+$E$22/(1+$C60)^$E$23+$F$22/(1+$C60)^$F$23+$G$22/(1+$C60)^$G$23+$H$22/(1+$C60)^$H$23)+$H$15*(1+G$55)*(1-G$55/$D$30)/($C60-G$55)/(1+$C60)^$H$23-$D$42+$D$45+$D$46-$D$47+$D$48)/$D$50,NA())</x:f>
        <x:v>778.3008811914068</x:v>
      </x:c>
      <x:c r="H60" s="14" t="n">
        <x:f>IF(AND($C60&gt;H$55,H$55&gt;=0,$D$30&gt;H$55),(($D$22/(1+$C60)^$D$23+$E$22/(1+$C60)^$E$23+$F$22/(1+$C60)^$F$23+$G$22/(1+$C60)^$G$23+$H$22/(1+$C60)^$H$23)+$H$15*(1+H$55)*(1-H$55/$D$30)/($C60-H$55)/(1+$C60)^$H$23-$D$42+$D$45+$D$46-$D$47+$D$48)/$D$50,NA())</x:f>
        <x:v>789.5868794248352</x:v>
      </x:c>
      <x:c r="I60" s="2"/>
      <x:c r="J60" s="2"/>
    </x:row>
    <x:row r="61" ht="24" customHeight="1">
      <x:c r="A61" s="2"/>
      <x:c r="B61" s="2"/>
      <x:c r="C61" s="3"/>
      <x:c r="D61" s="3"/>
      <x:c r="E61" s="3"/>
      <x:c r="F61" s="3"/>
      <x:c r="G61" s="3"/>
      <x:c r="H61" s="3"/>
      <x:c r="I61" s="2"/>
      <x:c r="J61" s="2"/>
    </x:row>
    <x:row r="62" ht="49" customHeight="1">
      <x:c r="A62" s="2"/>
      <x:c r="B62" s="86" t="str">
        <x:v>Each sensitivity cell re-discounts the same operating forecast and recalculates terminal reinvestment for its growth rate. The highlighted centre matches the base value per share. This is a formula grid, not a native Excel What-If Data Table.</x:v>
      </x:c>
      <x:c r="C62" s="103"/>
      <x:c r="D62" s="103"/>
      <x:c r="E62" s="103"/>
      <x:c r="F62" s="103"/>
      <x:c r="G62" s="103"/>
      <x:c r="H62" s="103"/>
      <x:c r="I62" s="2"/>
      <x:c r="J62" s="2"/>
    </x:row>
    <x:row r="63" ht="24" customHeight="1">
      <x:c r="A63" s="2"/>
      <x:c r="B63" s="2"/>
      <x:c r="C63" s="3"/>
      <x:c r="D63" s="3"/>
      <x:c r="E63" s="3"/>
      <x:c r="F63" s="3"/>
      <x:c r="G63" s="3"/>
      <x:c r="H63" s="3"/>
      <x:c r="I63" s="2"/>
      <x:c r="J63" s="2"/>
    </x:row>
    <x:row r="64" ht="27" customHeight="1">
      <x:c r="A64" s="2"/>
      <x:c r="B64" s="137" t="str">
        <x:v>RECONCILIATIONS</x:v>
      </x:c>
      <x:c r="C64" s="141"/>
      <x:c r="D64" s="141"/>
      <x:c r="E64" s="141"/>
      <x:c r="F64" s="141"/>
      <x:c r="G64" s="141"/>
      <x:c r="H64" s="141"/>
      <x:c r="I64" s="2"/>
      <x:c r="J64" s="2"/>
    </x:row>
    <x:row r="65" ht="24" customHeight="1">
      <x:c r="A65" s="2"/>
      <x:c r="B65" s="2" t="str">
        <x:v>Explicit cash-flow bridge difference</x:v>
      </x:c>
      <x:c r="C65" s="3"/>
      <x:c r="D65" s="169" t="n">
        <x:f>D20-('Torrent forecast'!D42-D12*(1-D14)-D11*D14-D19)</x:f>
        <x:v>-9.094947017729282e-13</x:v>
      </x:c>
      <x:c r="E65" s="169" t="n">
        <x:f>E20-('Torrent forecast'!E42-E12*(1-E14)-E11*E14-E19)</x:f>
        <x:v>4.547473508864641e-13</x:v>
      </x:c>
      <x:c r="F65" s="169" t="n">
        <x:f>F20-('Torrent forecast'!F42-F12*(1-F14)-F11*F14-F19)</x:f>
        <x:v>4.547473508864641e-13</x:v>
      </x:c>
      <x:c r="G65" s="169" t="n">
        <x:f>G20-('Torrent forecast'!G42-G12*(1-G14)-G11*G14-G19)</x:f>
        <x:v>-9.094947017729282e-13</x:v>
      </x:c>
      <x:c r="H65" s="169" t="n">
        <x:f>H20-('Torrent forecast'!H42-H12*(1-H14)-H11*H14-H19)</x:f>
        <x:v>0</x:v>
      </x:c>
      <x:c r="I65" s="2"/>
      <x:c r="J65" s="2"/>
    </x:row>
    <x:row r="66" ht="24" customHeight="1">
      <x:c r="A66" s="2"/>
      <x:c r="B66" s="2" t="str">
        <x:v>DCF equity bridge difference</x:v>
      </x:c>
      <x:c r="C66" s="3"/>
      <x:c r="D66" s="169" t="n">
        <x:f>D49-(D38-D42+D45+D46-D47+D48)</x:f>
        <x:v>0</x:v>
      </x:c>
      <x:c r="E66" s="169"/>
      <x:c r="F66" s="169"/>
      <x:c r="G66" s="169"/>
      <x:c r="H66" s="169"/>
      <x:c r="I66" s="2"/>
      <x:c r="J66" s="2"/>
    </x:row>
    <x:row r="67" ht="24" customHeight="1">
      <x:c r="A67" s="2"/>
      <x:c r="B67" s="2" t="str">
        <x:v>Sensitivity centre less base value</x:v>
      </x:c>
      <x:c r="C67" s="3"/>
      <x:c r="D67" s="169" t="n">
        <x:f>F58-D51</x:f>
        <x:v>0</x:v>
      </x:c>
      <x:c r="E67" s="169"/>
      <x:c r="F67" s="169"/>
      <x:c r="G67" s="169"/>
      <x:c r="H67" s="169"/>
      <x:c r="I67" s="2"/>
      <x:c r="J67" s="2"/>
    </x:row>
    <x:row r="68" ht="24" customHeight="1">
      <x:c r="A68" s="2"/>
      <x:c r="B68" s="2" t="str">
        <x:v>Terminal reinvestment reconciliation</x:v>
      </x:c>
      <x:c r="C68" s="3"/>
      <x:c r="D68" s="169" t="n">
        <x:f>D33-D32*D29/D30</x:f>
        <x:v>0</x:v>
      </x:c>
      <x:c r="E68" s="169"/>
      <x:c r="F68" s="169"/>
      <x:c r="G68" s="169"/>
      <x:c r="H68" s="169"/>
      <x:c r="I68" s="2"/>
      <x:c r="J68" s="2"/>
    </x:row>
    <x:row r="69" ht="24" customHeight="1">
      <x:c r="A69" s="2"/>
      <x:c r="B69" s="2"/>
      <x:c r="C69" s="3"/>
      <x:c r="D69" s="3"/>
      <x:c r="E69" s="3"/>
      <x:c r="F69" s="3"/>
      <x:c r="G69" s="3"/>
      <x:c r="H69" s="3"/>
      <x:c r="I69" s="2"/>
      <x:c r="J69" s="2"/>
    </x:row>
    <x:row r="70" ht="48" customHeight="1">
      <x:c r="A70" s="2"/>
      <x:c r="B70" s="86" t="str">
        <x:v>Leases: add back ROU depreciation to EBIT, deduct recurring financed lease cash as rent, and exclude ROU depreciation from the D&amp;A add-back. This corrects the operating tax basis and avoids subtracting lease debt twice.</x:v>
      </x:c>
      <x:c r="C70" s="103"/>
      <x:c r="D70" s="103"/>
      <x:c r="E70" s="103"/>
      <x:c r="F70" s="103"/>
      <x:c r="G70" s="103"/>
      <x:c r="H70" s="103"/>
      <x:c r="I70" s="2"/>
      <x:c r="J70" s="2"/>
    </x:row>
    <x:row r="71" ht="47" customHeight="1">
      <x:c r="A71" s="2"/>
      <x:c r="B71" s="86" t="str">
        <x:v>FY26E includes only the estimated cash flow after 29 June 2025. All included cash is discounted at the fiscal year-end. Later years are full years. No acquisition borrowing, interest, synergies or PPA charges enter standalone FCF.</x:v>
      </x:c>
      <x:c r="C71" s="103"/>
      <x:c r="D71" s="103"/>
      <x:c r="E71" s="103"/>
      <x:c r="F71" s="103"/>
      <x:c r="G71" s="103"/>
      <x:c r="H71" s="103"/>
      <x:c r="I71" s="2"/>
      <x:c r="J71" s="2"/>
    </x:row>
    <x:row r="72" ht="47" customHeight="1">
      <x:c r="A72" s="2"/>
      <x:c r="B72" s="86" t="str">
        <x:v>Equity bridge uses FY25 debt and liquidity as announcement-date proxies. JB uses expanded shares including ESOPs; Torrent uses FY25 closing shares. ESOP proceeds and additional non-operating assets are zero assumptions.</x:v>
      </x:c>
      <x:c r="C72" s="103"/>
      <x:c r="D72" s="103"/>
      <x:c r="E72" s="103"/>
      <x:c r="F72" s="103"/>
      <x:c r="G72" s="103"/>
      <x:c r="H72" s="103"/>
      <x:c r="I72" s="2"/>
      <x:c r="J72" s="2"/>
    </x:row>
    <x:row r="73" ht="44" customHeight="1">
      <x:c r="A73" s="2"/>
      <x:c r="B73" s="86" t="str">
        <x:v>Terminal free cash flow = FY31 normalised NOPAT × (1 − growth / terminal ROIC). This replaces the last forecast-year reinvestment profile. The same WACC applies to explicit and terminal cash flow.</x:v>
      </x:c>
      <x:c r="C73" s="103"/>
      <x:c r="D73" s="103"/>
      <x:c r="E73" s="103"/>
      <x:c r="F73" s="103"/>
      <x:c r="G73" s="103"/>
      <x:c r="H73" s="10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row r="91" ht="24" customHeight="1">
      <x:c r="A91" s="2"/>
      <x:c r="B91" s="2"/>
      <x:c r="C91" s="3"/>
      <x:c r="D91" s="3"/>
      <x:c r="E91" s="3"/>
      <x:c r="F91" s="3"/>
      <x:c r="G91" s="3"/>
      <x:c r="H91" s="3"/>
      <x:c r="I91" s="2"/>
      <x:c r="J91" s="2"/>
    </x:row>
    <x:row r="92" ht="24" customHeight="1">
      <x:c r="A92" s="2"/>
      <x:c r="B92" s="2"/>
      <x:c r="C92" s="3"/>
      <x:c r="D92" s="3"/>
      <x:c r="E92" s="3"/>
      <x:c r="F92" s="3"/>
      <x:c r="G92" s="3"/>
      <x:c r="H92" s="3"/>
      <x:c r="I92" s="2"/>
      <x:c r="J92" s="2"/>
    </x:row>
    <x:row r="93" ht="24" customHeight="1">
      <x:c r="A93" s="2"/>
      <x:c r="B93" s="2"/>
      <x:c r="C93" s="3"/>
      <x:c r="D93" s="3"/>
      <x:c r="E93" s="3"/>
      <x:c r="F93" s="3"/>
      <x:c r="G93" s="3"/>
      <x:c r="H93" s="3"/>
      <x:c r="I93" s="2"/>
      <x:c r="J93" s="2"/>
    </x:row>
    <x:row r="94" ht="24" customHeight="1">
      <x:c r="A94" s="2"/>
      <x:c r="B94" s="2"/>
      <x:c r="C94" s="3"/>
      <x:c r="D94" s="3"/>
      <x:c r="E94" s="3"/>
      <x:c r="F94" s="3"/>
      <x:c r="G94" s="3"/>
      <x:c r="H94" s="3"/>
      <x:c r="I94" s="2"/>
      <x:c r="J94" s="2"/>
    </x:row>
  </x:sheetData>
  <x:mergeCells>
    <x:mergeCell ref="B2:H2"/>
    <x:mergeCell ref="B3:H3"/>
    <x:mergeCell ref="B6:H6"/>
    <x:mergeCell ref="B27:H27"/>
    <x:mergeCell ref="B41:H41"/>
    <x:mergeCell ref="B53:H53"/>
    <x:mergeCell ref="B64:H64"/>
    <x:mergeCell ref="B62:H62"/>
    <x:mergeCell ref="B70:H70"/>
    <x:mergeCell ref="B71:H71"/>
    <x:mergeCell ref="B72:H72"/>
    <x:mergeCell ref="B73:H73"/>
  </x:mergeCells>
  <x:conditionalFormatting sqref="D65:H68">
    <x:cfRule type="cellIs" dxfId="6" priority="1" operator="notBetween">
      <x:formula>-0.001</x:formula>
      <x:formula>0.001</x:formula>
    </x:cfRule>
  </x:conditionalFormatting>
  <x:pageMargins left="0.7" right="0.7" top="0.75" bottom="0.75" header="0.3" footer="0.3"/>
</x:worksheet>
</file>

<file path=xl/worksheets/sheet18.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JB standalone DCF</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t="str">
        <x:v>FY26E</x:v>
      </x:c>
      <x:c r="E5" s="2" t="str">
        <x:v>FY27E</x:v>
      </x:c>
      <x:c r="F5" s="2" t="str">
        <x:v>FY28E</x:v>
      </x:c>
      <x:c r="G5" s="2" t="str">
        <x:v>FY29E</x:v>
      </x:c>
      <x:c r="H5" s="2" t="str">
        <x:v>FY30E</x:v>
      </x:c>
      <x:c r="I5" s="2"/>
      <x:c r="J5" s="2"/>
    </x:row>
    <x:row r="6" ht="27" customHeight="1">
      <x:c r="A6" s="2"/>
      <x:c r="B6" s="137" t="str">
        <x:v>LEASE-ADJUSTED UNLEVERED CASH FLOW</x:v>
      </x:c>
      <x:c r="C6" s="137"/>
      <x:c r="D6" s="137"/>
      <x:c r="E6" s="137"/>
      <x:c r="F6" s="137"/>
      <x:c r="G6" s="137"/>
      <x:c r="H6" s="137"/>
      <x:c r="I6" s="2"/>
      <x:c r="J6" s="2"/>
    </x:row>
    <x:row r="7" ht="24" customHeight="1">
      <x:c r="A7" s="2"/>
      <x:c r="B7" s="2" t="str">
        <x:v>Revenue</x:v>
      </x:c>
      <x:c r="C7" s="3"/>
      <x:c r="D7" s="28" t="n">
        <x:f>'JB forecast'!D13</x:f>
        <x:v>4367.171133</x:v>
      </x:c>
      <x:c r="E7" s="28" t="n">
        <x:f>'JB forecast'!E13</x:f>
        <x:v>4869.934916489999</x:v>
      </x:c>
      <x:c r="F7" s="28" t="n">
        <x:f>'JB forecast'!F13</x:f>
        <x:v>5384.161165564799</x:v>
      </x:c>
      <x:c r="G7" s="28" t="n">
        <x:f>'JB forecast'!G13</x:f>
        <x:v>5922.736196020528</x:v>
      </x:c>
      <x:c r="H7" s="28" t="n">
        <x:f>'JB forecast'!H13</x:f>
        <x:v>6450.743427029789</x:v>
      </x:c>
      <x:c r="I7" s="2"/>
      <x:c r="J7" s="2"/>
    </x:row>
    <x:row r="8" ht="24" customHeight="1">
      <x:c r="A8" s="2"/>
      <x:c r="B8" s="2" t="str">
        <x:v>Operating EBITDA</x:v>
      </x:c>
      <x:c r="C8" s="3"/>
      <x:c r="D8" s="28" t="n">
        <x:f>'JB forecast'!D18</x:f>
        <x:v>1170.401863644</x:v>
      </x:c>
      <x:c r="E8" s="28" t="n">
        <x:f>'JB forecast'!E18</x:f>
        <x:v>1329.4922322017696</x:v>
      </x:c>
      <x:c r="F8" s="28" t="n">
        <x:f>'JB forecast'!F18</x:f>
        <x:v>1496.7968040270143</x:v>
      </x:c>
      <x:c r="G8" s="28" t="n">
        <x:f>'JB forecast'!G18</x:f>
        <x:v>1670.2116072777887</x:v>
      </x:c>
      <x:c r="H8" s="28" t="n">
        <x:f>'JB forecast'!H18</x:f>
        <x:v>1838.4618767034897</x:v>
      </x:c>
      <x:c r="I8" s="2"/>
      <x:c r="J8" s="2"/>
    </x:row>
    <x:row r="9" ht="24" customHeight="1">
      <x:c r="A9" s="2"/>
      <x:c r="B9" s="2" t="str">
        <x:v>Total depreciation and amortisation</x:v>
      </x:c>
      <x:c r="C9" s="3"/>
      <x:c r="D9" s="28" t="n">
        <x:f>'JB forecast'!D20</x:f>
        <x:v>183.421187586</x:v>
      </x:c>
      <x:c r="E9" s="28" t="n">
        <x:f>'JB forecast'!E20</x:f>
        <x:v>194.79739665959994</x:v>
      </x:c>
      <x:c r="F9" s="28" t="n">
        <x:f>'JB forecast'!F20</x:f>
        <x:v>204.59812429146237</x:v>
      </x:c>
      <x:c r="G9" s="28" t="n">
        <x:f>'JB forecast'!G20</x:f>
        <x:v>219.14123925275956</x:v>
      </x:c>
      <x:c r="H9" s="28" t="n">
        <x:f>'JB forecast'!H20</x:f>
        <x:v>225.77601994604262</x:v>
      </x:c>
      <x:c r="I9" s="2"/>
      <x:c r="J9" s="2"/>
    </x:row>
    <x:row r="10" ht="24" customHeight="1">
      <x:c r="A10" s="2"/>
      <x:c r="B10" s="2" t="str">
        <x:v>Reported-basis operating EBIT</x:v>
      </x:c>
      <x:c r="C10" s="3"/>
      <x:c r="D10" s="3" t="n">
        <x:f>D8-D9</x:f>
        <x:v>986.9806760580001</x:v>
      </x:c>
      <x:c r="E10" s="3" t="n">
        <x:f>E8-E9</x:f>
        <x:v>1134.6948355421696</x:v>
      </x:c>
      <x:c r="F10" s="3" t="n">
        <x:f>F8-F9</x:f>
        <x:v>1292.1986797355519</x:v>
      </x:c>
      <x:c r="G10" s="3" t="n">
        <x:f>G8-G9</x:f>
        <x:v>1451.0703680250292</x:v>
      </x:c>
      <x:c r="H10" s="3" t="n">
        <x:f>H8-H9</x:f>
        <x:v>1612.685856757447</x:v>
      </x:c>
      <x:c r="I10" s="2"/>
      <x:c r="J10" s="2"/>
    </x:row>
    <x:row r="11" ht="24" customHeight="1">
      <x:c r="A11" s="2"/>
      <x:c r="B11" s="2" t="str">
        <x:v>Add: ROU depreciation</x:v>
      </x:c>
      <x:c r="C11" s="3"/>
      <x:c r="D11" s="28" t="n">
        <x:f>D7*'Valuation inputs'!$E$27</x:f>
        <x:v>12.778861442904274</x:v>
      </x:c>
      <x:c r="E11" s="28" t="n">
        <x:f>E7*'Valuation inputs'!$E$27</x:f>
        <x:v>14.250007988818444</x:v>
      </x:c>
      <x:c r="F11" s="28" t="n">
        <x:f>F7*'Valuation inputs'!$E$27</x:f>
        <x:v>15.754695070480206</x:v>
      </x:c>
      <x:c r="G11" s="28" t="n">
        <x:f>G7*'Valuation inputs'!$E$27</x:f>
        <x:v>17.330629578472315</x:v>
      </x:c>
      <x:c r="H11" s="28" t="n">
        <x:f>H7*'Valuation inputs'!$E$27</x:f>
        <x:v>18.875641450100957</x:v>
      </x:c>
      <x:c r="I11" s="2"/>
      <x:c r="J11" s="2"/>
    </x:row>
    <x:row r="12" ht="24" customHeight="1">
      <x:c r="A12" s="2"/>
      <x:c r="B12" s="2" t="str">
        <x:v>Less: financed leases as cash rentals</x:v>
      </x:c>
      <x:c r="C12" s="3"/>
      <x:c r="D12" s="28" t="n">
        <x:f>D7*'Valuation inputs'!$E$28</x:f>
        <x:v>14.60153092098331</x:v>
      </x:c>
      <x:c r="E12" s="28" t="n">
        <x:f>E7*'Valuation inputs'!$E$28</x:f>
        <x:v>16.282509455373106</x:v>
      </x:c>
      <x:c r="F12" s="28" t="n">
        <x:f>F7*'Valuation inputs'!$E$28</x:f>
        <x:v>18.00181246585281</x:v>
      </x:c>
      <x:c r="G12" s="28" t="n">
        <x:f>G7*'Valuation inputs'!$E$28</x:f>
        <x:v>19.802525037211726</x:v>
      </x:c>
      <x:c r="H12" s="28" t="n">
        <x:f>H7*'Valuation inputs'!$E$28</x:f>
        <x:v>21.567904427047626</x:v>
      </x:c>
      <x:c r="I12" s="2"/>
      <x:c r="J12" s="2"/>
    </x:row>
    <x:row r="13" ht="24" customHeight="1">
      <x:c r="A13" s="2"/>
      <x:c r="B13" s="162" t="str">
        <x:v>Operating EBIT after lease conversion</x:v>
      </x:c>
      <x:c r="C13" s="155"/>
      <x:c r="D13" s="155" t="n">
        <x:f>D10+D11-D12</x:f>
        <x:v>985.158006579921</x:v>
      </x:c>
      <x:c r="E13" s="155" t="n">
        <x:f>E10+E11-E12</x:f>
        <x:v>1132.6623340756148</x:v>
      </x:c>
      <x:c r="F13" s="155" t="n">
        <x:f>F10+F11-F12</x:f>
        <x:v>1289.9515623401794</x:v>
      </x:c>
      <x:c r="G13" s="155" t="n">
        <x:f>G10+G11-G12</x:f>
        <x:v>1448.5984725662897</x:v>
      </x:c>
      <x:c r="H13" s="155" t="n">
        <x:f>H10+H11-H12</x:f>
        <x:v>1609.9935937805005</x:v>
      </x:c>
      <x:c r="I13" s="2"/>
      <x:c r="J13" s="2"/>
    </x:row>
    <x:row r="14" ht="24" customHeight="1">
      <x:c r="A14" s="2"/>
      <x:c r="B14" s="2" t="str">
        <x:v>Operating tax rate</x:v>
      </x:c>
      <x:c r="C14" s="3"/>
      <x:c r="D14" s="76" t="n">
        <x:f>'JB forecast'!D22</x:f>
        <x:v>0.26</x:v>
      </x:c>
      <x:c r="E14" s="76" t="n">
        <x:f>'JB forecast'!E22</x:f>
        <x:v>0.26</x:v>
      </x:c>
      <x:c r="F14" s="76" t="n">
        <x:f>'JB forecast'!F22</x:f>
        <x:v>0.26</x:v>
      </x:c>
      <x:c r="G14" s="76" t="n">
        <x:f>'JB forecast'!G22</x:f>
        <x:v>0.26</x:v>
      </x:c>
      <x:c r="H14" s="76" t="n">
        <x:f>'JB forecast'!H22</x:f>
        <x:v>0.26</x:v>
      </x:c>
      <x:c r="I14" s="2"/>
      <x:c r="J14" s="2"/>
    </x:row>
    <x:row r="15" ht="24" customHeight="1">
      <x:c r="A15" s="2"/>
      <x:c r="B15" s="162" t="str">
        <x:v>Net operating profit after tax</x:v>
      </x:c>
      <x:c r="C15" s="155"/>
      <x:c r="D15" s="155" t="n">
        <x:f>D13*(1-D14)</x:f>
        <x:v>729.0169248691416</x:v>
      </x:c>
      <x:c r="E15" s="155" t="n">
        <x:f>E13*(1-E14)</x:f>
        <x:v>838.170127215955</x:v>
      </x:c>
      <x:c r="F15" s="155" t="n">
        <x:f>F13*(1-F14)</x:f>
        <x:v>954.5641561317327</x:v>
      </x:c>
      <x:c r="G15" s="155" t="n">
        <x:f>G13*(1-G14)</x:f>
        <x:v>1071.9628696990544</x:v>
      </x:c>
      <x:c r="H15" s="155" t="n">
        <x:f>H13*(1-H14)</x:f>
        <x:v>1191.3952593975703</x:v>
      </x:c>
      <x:c r="I15" s="2"/>
      <x:c r="J15" s="2"/>
    </x:row>
    <x:row r="16" ht="24" customHeight="1">
      <x:c r="A16" s="2"/>
      <x:c r="B16" s="2" t="str">
        <x:v>Add: D&amp;A excluding ROU depreciation</x:v>
      </x:c>
      <x:c r="C16" s="3"/>
      <x:c r="D16" s="3" t="n">
        <x:f>D9-D11</x:f>
        <x:v>170.64232614309572</x:v>
      </x:c>
      <x:c r="E16" s="3" t="n">
        <x:f>E9-E11</x:f>
        <x:v>180.5473886707815</x:v>
      </x:c>
      <x:c r="F16" s="3" t="n">
        <x:f>F9-F11</x:f>
        <x:v>188.84342922098216</x:v>
      </x:c>
      <x:c r="G16" s="3" t="n">
        <x:f>G9-G11</x:f>
        <x:v>201.81060967428724</x:v>
      </x:c>
      <x:c r="H16" s="3" t="n">
        <x:f>H9-H11</x:f>
        <x:v>206.90037849594165</x:v>
      </x:c>
      <x:c r="I16" s="2"/>
      <x:c r="J16" s="2"/>
    </x:row>
    <x:row r="17" ht="24" customHeight="1">
      <x:c r="A17" s="2"/>
      <x:c r="B17" s="2" t="str">
        <x:v>Less: recurring capital expenditure</x:v>
      </x:c>
      <x:c r="C17" s="3"/>
      <x:c r="D17" s="28" t="n">
        <x:f>'JB forecast'!D39</x:f>
        <x:v>131.01513398999998</x:v>
      </x:c>
      <x:c r="E17" s="28" t="n">
        <x:f>'JB forecast'!E39</x:f>
        <x:v>146.09804749469995</x:v>
      </x:c>
      <x:c r="F17" s="28" t="n">
        <x:f>'JB forecast'!F39</x:f>
        <x:v>161.52483496694398</x:v>
      </x:c>
      <x:c r="G17" s="28" t="n">
        <x:f>'JB forecast'!G39</x:f>
        <x:v>177.68208588061583</x:v>
      </x:c>
      <x:c r="H17" s="28" t="n">
        <x:f>'JB forecast'!H39</x:f>
        <x:v>193.52230281089368</x:v>
      </x:c>
      <x:c r="I17" s="2"/>
      <x:c r="J17" s="2"/>
    </x:row>
    <x:row r="18" ht="24" customHeight="1">
      <x:c r="A18" s="2"/>
      <x:c r="B18" s="2" t="str">
        <x:v>Less: increase / (release) in trade WC</x:v>
      </x:c>
      <x:c r="C18" s="3"/>
      <x:c r="D18" s="28" t="n">
        <x:f>'JB forecast'!D35</x:f>
        <x:v>92.66821625500006</x:v>
      </x:c>
      <x:c r="E18" s="28" t="n">
        <x:f>'JB forecast'!E35</x:f>
        <x:v>93.7998145376996</x:v>
      </x:c>
      <x:c r="F18" s="28" t="n">
        <x:f>'JB forecast'!F35</x:f>
        <x:v>91.35123145938064</x:v>
      </x:c>
      <x:c r="G18" s="28" t="n">
        <x:f>'JB forecast'!G35</x:f>
        <x:v>97.4884370684565</x:v>
      </x:c>
      <x:c r="H18" s="28" t="n">
        <x:f>'JB forecast'!H35</x:f>
        <x:v>77.98513749086783</x:v>
      </x:c>
      <x:c r="I18" s="2"/>
      <x:c r="J18" s="2"/>
    </x:row>
    <x:row r="19" ht="24" customHeight="1">
      <x:c r="A19" s="2"/>
      <x:c r="B19" s="2" t="str">
        <x:v>Less: increase / (release) in other WC</x:v>
      </x:c>
      <x:c r="C19" s="3"/>
      <x:c r="D19" s="28" t="n">
        <x:f>(D7-'JB history'!G7)*'Valuation inputs'!$E$29</x:f>
        <x:v>0</x:v>
      </x:c>
      <x:c r="E19" s="28" t="n">
        <x:f>(E7-D7)*'Valuation inputs'!$E$29</x:f>
        <x:v>0</x:v>
      </x:c>
      <x:c r="F19" s="28" t="n">
        <x:f>(F7-E7)*'Valuation inputs'!$E$29</x:f>
        <x:v>0</x:v>
      </x:c>
      <x:c r="G19" s="28" t="n">
        <x:f>(G7-F7)*'Valuation inputs'!$E$29</x:f>
        <x:v>0</x:v>
      </x:c>
      <x:c r="H19" s="28" t="n">
        <x:f>(H7-G7)*'Valuation inputs'!$E$29</x:f>
        <x:v>0</x:v>
      </x:c>
      <x:c r="I19" s="2"/>
      <x:c r="J19" s="2"/>
    </x:row>
    <x:row r="20" ht="24" customHeight="1">
      <x:c r="A20" s="2"/>
      <x:c r="B20" s="162" t="str">
        <x:v>Full-year unlevered cash flow</x:v>
      </x:c>
      <x:c r="C20" s="155"/>
      <x:c r="D20" s="155" t="n">
        <x:f>D15+D16-D17-D18-D19</x:f>
        <x:v>675.9759007672372</x:v>
      </x:c>
      <x:c r="E20" s="155" t="n">
        <x:f>E15+E16-E17-E18-E19</x:f>
        <x:v>778.8196538543369</x:v>
      </x:c>
      <x:c r="F20" s="155" t="n">
        <x:f>F15+F16-F17-F18-F19</x:f>
        <x:v>890.5315189263903</x:v>
      </x:c>
      <x:c r="G20" s="155" t="n">
        <x:f>G15+G16-G17-G18-G19</x:f>
        <x:v>998.6029564242692</x:v>
      </x:c>
      <x:c r="H20" s="155" t="n">
        <x:f>H15+H16-H17-H18-H19</x:f>
        <x:v>1126.7881975917503</x:v>
      </x:c>
      <x:c r="I20" s="2"/>
      <x:c r="J20" s="2"/>
    </x:row>
    <x:row r="21" ht="24" customHeight="1">
      <x:c r="A21" s="2"/>
      <x:c r="B21" s="2" t="str">
        <x:v>Fraction of year included</x:v>
      </x:c>
      <x:c r="C21" s="3"/>
      <x:c r="D21" s="76" t="n">
        <x:f>'Valuation inputs'!$C$10</x:f>
        <x:v>0.7534246575342466</x:v>
      </x:c>
      <x:c r="E21" s="29" t="n">
        <x:f>1</x:f>
        <x:v>1</x:v>
      </x:c>
      <x:c r="F21" s="29" t="n">
        <x:f>1</x:f>
        <x:v>1</x:v>
      </x:c>
      <x:c r="G21" s="29" t="n">
        <x:f>1</x:f>
        <x:v>1</x:v>
      </x:c>
      <x:c r="H21" s="29" t="n">
        <x:f>1</x:f>
        <x:v>1</x:v>
      </x:c>
      <x:c r="I21" s="2"/>
      <x:c r="J21" s="2"/>
    </x:row>
    <x:row r="22" ht="24" customHeight="1">
      <x:c r="A22" s="2"/>
      <x:c r="B22" s="162" t="str">
        <x:v>Cash flow included in valuation</x:v>
      </x:c>
      <x:c r="C22" s="155"/>
      <x:c r="D22" s="155" t="n">
        <x:f>D20*D21</x:f>
        <x:v>509.29691153695956</x:v>
      </x:c>
      <x:c r="E22" s="155" t="n">
        <x:f>E20*E21</x:f>
        <x:v>778.8196538543369</x:v>
      </x:c>
      <x:c r="F22" s="155" t="n">
        <x:f>F20*F21</x:f>
        <x:v>890.5315189263903</x:v>
      </x:c>
      <x:c r="G22" s="155" t="n">
        <x:f>G20*G21</x:f>
        <x:v>998.6029564242692</x:v>
      </x:c>
      <x:c r="H22" s="155" t="n">
        <x:f>H20*H21</x:f>
        <x:v>1126.7881975917503</x:v>
      </x:c>
      <x:c r="I22" s="2"/>
      <x:c r="J22" s="2"/>
    </x:row>
    <x:row r="23" ht="24" customHeight="1">
      <x:c r="A23" s="2"/>
      <x:c r="B23" s="2" t="str">
        <x:v>Years from valuation date</x:v>
      </x:c>
      <x:c r="C23" s="3"/>
      <x:c r="D23" s="158" t="n">
        <x:f>'Valuation inputs'!$C$10</x:f>
        <x:v>0.7534246575342466</x:v>
      </x:c>
      <x:c r="E23" s="159" t="n">
        <x:f>D23+1</x:f>
        <x:v>1.7534246575342465</x:v>
      </x:c>
      <x:c r="F23" s="159" t="n">
        <x:f>E23+1</x:f>
        <x:v>2.7534246575342465</x:v>
      </x:c>
      <x:c r="G23" s="159" t="n">
        <x:f>F23+1</x:f>
        <x:v>3.7534246575342465</x:v>
      </x:c>
      <x:c r="H23" s="159" t="n">
        <x:f>G23+1</x:f>
        <x:v>4.7534246575342465</x:v>
      </x:c>
      <x:c r="I23" s="2"/>
      <x:c r="J23" s="2"/>
    </x:row>
    <x:row r="24" ht="24" customHeight="1">
      <x:c r="A24" s="2"/>
      <x:c r="B24" s="2" t="str">
        <x:v>Discount factor at selected WACC</x:v>
      </x:c>
      <x:c r="C24" s="3"/>
      <x:c r="D24" s="29" t="n">
        <x:f>1/(1+$D$28)^D23</x:f>
        <x:v>0.9209099421660828</x:v>
      </x:c>
      <x:c r="E24" s="29" t="n">
        <x:f>1/(1+$D$28)^E23</x:f>
        <x:v>0.8255123525315616</x:v>
      </x:c>
      <x:c r="F24" s="29" t="n">
        <x:f>1/(1+$D$28)^F23</x:f>
        <x:v>0.7399970539782624</x:v>
      </x:c>
      <x:c r="G24" s="29" t="n">
        <x:f>1/(1+$D$28)^G23</x:f>
        <x:v>0.6633403342993238</x:v>
      </x:c>
      <x:c r="H24" s="29" t="n">
        <x:f>1/(1+$D$28)^H23</x:f>
        <x:v>0.5946245282231413</x:v>
      </x:c>
      <x:c r="I24" s="2"/>
      <x:c r="J24" s="2"/>
    </x:row>
    <x:row r="25" ht="24" customHeight="1">
      <x:c r="A25" s="2"/>
      <x:c r="B25" s="162" t="str">
        <x:v>Present value of cash flow</x:v>
      </x:c>
      <x:c r="C25" s="155"/>
      <x:c r="D25" s="155" t="n">
        <x:f>D22*D24</x:f>
        <x:v>469.01658934886603</x:v>
      </x:c>
      <x:c r="E25" s="155" t="n">
        <x:f>E22*E24</x:f>
        <x:v>642.9252446511102</x:v>
      </x:c>
      <x:c r="F25" s="155" t="n">
        <x:f>F22*F24</x:f>
        <x:v>658.990700480316</x:v>
      </x:c>
      <x:c r="G25" s="155" t="n">
        <x:f>G22*G24</x:f>
        <x:v>662.4136189467679</x:v>
      </x:c>
      <x:c r="H25" s="155" t="n">
        <x:f>H22*H24</x:f>
        <x:v>670.0159004003982</x:v>
      </x:c>
      <x:c r="I25" s="2"/>
      <x:c r="J25" s="2"/>
    </x:row>
    <x:row r="26" ht="24" customHeight="1">
      <x:c r="A26" s="2"/>
      <x:c r="B26" s="2"/>
      <x:c r="C26" s="3"/>
      <x:c r="D26" s="3"/>
      <x:c r="E26" s="3"/>
      <x:c r="F26" s="3"/>
      <x:c r="G26" s="3"/>
      <x:c r="H26" s="3"/>
      <x:c r="I26" s="2"/>
      <x:c r="J26" s="2"/>
    </x:row>
    <x:row r="27" ht="27" customHeight="1">
      <x:c r="A27" s="2"/>
      <x:c r="B27" s="137" t="str">
        <x:v>TERMINAL VALUE — SUSTAINABLE REINVESTMENT</x:v>
      </x:c>
      <x:c r="C27" s="141"/>
      <x:c r="D27" s="141"/>
      <x:c r="E27" s="141"/>
      <x:c r="F27" s="141"/>
      <x:c r="G27" s="141"/>
      <x:c r="H27" s="141"/>
      <x:c r="I27" s="2"/>
      <x:c r="J27" s="2"/>
    </x:row>
    <x:row r="28" ht="24" customHeight="1">
      <x:c r="A28" s="2"/>
      <x:c r="B28" s="2" t="str">
        <x:v>Selected WACC</x:v>
      </x:c>
      <x:c r="C28" s="3"/>
      <x:c r="D28" s="76" t="n">
        <x:f>'Valuation inputs'!$E$21</x:f>
        <x:v>0.11556167432500525</x:v>
      </x:c>
      <x:c r="E28" s="3"/>
      <x:c r="F28" s="3"/>
      <x:c r="G28" s="3"/>
      <x:c r="H28" s="3"/>
      <x:c r="I28" s="2"/>
      <x:c r="J28" s="2"/>
    </x:row>
    <x:row r="29" ht="24" customHeight="1">
      <x:c r="A29" s="2"/>
      <x:c r="B29" s="2" t="str">
        <x:v>Terminal nominal growth</x:v>
      </x:c>
      <x:c r="C29" s="3"/>
      <x:c r="D29" s="76" t="n">
        <x:f>'Valuation inputs'!$E$23</x:f>
        <x:v>0.04</x:v>
      </x:c>
      <x:c r="E29" s="3"/>
      <x:c r="F29" s="3"/>
      <x:c r="G29" s="3"/>
      <x:c r="H29" s="3"/>
      <x:c r="I29" s="2"/>
      <x:c r="J29" s="2"/>
    </x:row>
    <x:row r="30" ht="24" customHeight="1">
      <x:c r="A30" s="2"/>
      <x:c r="B30" s="2" t="str">
        <x:v>Terminal return on invested capital</x:v>
      </x:c>
      <x:c r="C30" s="3"/>
      <x:c r="D30" s="76" t="n">
        <x:f>'Valuation inputs'!$E$24</x:f>
        <x:v>0.15</x:v>
      </x:c>
      <x:c r="E30" s="3"/>
      <x:c r="F30" s="3"/>
      <x:c r="G30" s="3"/>
      <x:c r="H30" s="3"/>
      <x:c r="I30" s="2"/>
      <x:c r="J30" s="2"/>
    </x:row>
    <x:row r="31" ht="24" customHeight="1">
      <x:c r="A31" s="2"/>
      <x:c r="B31" s="2" t="str">
        <x:v>Terminal reinvestment / NOPAT</x:v>
      </x:c>
      <x:c r="C31" s="3"/>
      <x:c r="D31" s="29" t="n">
        <x:f>IF(AND(D30&gt;D29,D29&gt;=0),D29/D30,NA())</x:f>
        <x:v>0.26666666666666666</x:v>
      </x:c>
      <x:c r="E31" s="3"/>
      <x:c r="F31" s="3"/>
      <x:c r="G31" s="3"/>
      <x:c r="H31" s="3"/>
      <x:c r="I31" s="2"/>
      <x:c r="J31" s="2"/>
    </x:row>
    <x:row r="32" ht="24" customHeight="1">
      <x:c r="A32" s="2"/>
      <x:c r="B32" s="2" t="str">
        <x:v>FY31 normalised NOPAT</x:v>
      </x:c>
      <x:c r="C32" s="3"/>
      <x:c r="D32" s="3" t="n">
        <x:f>H15*(1+D29)</x:f>
        <x:v>1239.051069773473</x:v>
      </x:c>
      <x:c r="E32" s="3"/>
      <x:c r="F32" s="3"/>
      <x:c r="G32" s="3"/>
      <x:c r="H32" s="3"/>
      <x:c r="I32" s="2"/>
      <x:c r="J32" s="2"/>
    </x:row>
    <x:row r="33" ht="24" customHeight="1">
      <x:c r="A33" s="2"/>
      <x:c r="B33" s="2" t="str">
        <x:v>FY31 reinvestment cash</x:v>
      </x:c>
      <x:c r="C33" s="3"/>
      <x:c r="D33" s="3" t="n">
        <x:f>D32*D31</x:f>
        <x:v>330.4136186062595</x:v>
      </x:c>
      <x:c r="E33" s="3"/>
      <x:c r="F33" s="3"/>
      <x:c r="G33" s="3"/>
      <x:c r="H33" s="3"/>
      <x:c r="I33" s="2"/>
      <x:c r="J33" s="2"/>
    </x:row>
    <x:row r="34" ht="24" customHeight="1">
      <x:c r="A34" s="2"/>
      <x:c r="B34" s="162" t="str">
        <x:v>FY31 normalised free cash flow</x:v>
      </x:c>
      <x:c r="C34" s="155"/>
      <x:c r="D34" s="155" t="n">
        <x:f>D32-D33</x:f>
        <x:v>908.6374511672136</x:v>
      </x:c>
      <x:c r="E34" s="155"/>
      <x:c r="F34" s="155"/>
      <x:c r="G34" s="155"/>
      <x:c r="H34" s="155"/>
      <x:c r="I34" s="2"/>
      <x:c r="J34" s="2"/>
    </x:row>
    <x:row r="35" ht="24" customHeight="1">
      <x:c r="A35" s="2"/>
      <x:c r="B35" s="2" t="str">
        <x:v>Terminal enterprise value at FY30 end</x:v>
      </x:c>
      <x:c r="C35" s="3"/>
      <x:c r="D35" s="3" t="n">
        <x:f>IF(D28&gt;D29,D34/(D28-D29),NA())</x:f>
        <x:v>12025.110074440514</x:v>
      </x:c>
      <x:c r="E35" s="3"/>
      <x:c r="F35" s="3"/>
      <x:c r="G35" s="3"/>
      <x:c r="H35" s="3"/>
      <x:c r="I35" s="2"/>
      <x:c r="J35" s="2"/>
    </x:row>
    <x:row r="36" ht="24" customHeight="1">
      <x:c r="A36" s="2"/>
      <x:c r="B36" s="2" t="str">
        <x:v>Present value of terminal value</x:v>
      </x:c>
      <x:c r="C36" s="3"/>
      <x:c r="D36" s="3" t="n">
        <x:f>D35*H24</x:f>
        <x:v>7150.425404845534</x:v>
      </x:c>
      <x:c r="E36" s="3"/>
      <x:c r="F36" s="3"/>
      <x:c r="G36" s="3"/>
      <x:c r="H36" s="3"/>
      <x:c r="I36" s="2"/>
      <x:c r="J36" s="2"/>
    </x:row>
    <x:row r="37" ht="24" customHeight="1">
      <x:c r="A37" s="2"/>
      <x:c r="B37" s="2" t="str">
        <x:v>Present value of explicit cash flows</x:v>
      </x:c>
      <x:c r="C37" s="3"/>
      <x:c r="D37" s="3" t="n">
        <x:f>SUM(D25:H25)</x:f>
        <x:v>3103.362053827458</x:v>
      </x:c>
      <x:c r="E37" s="3"/>
      <x:c r="F37" s="3"/>
      <x:c r="G37" s="3"/>
      <x:c r="H37" s="3"/>
      <x:c r="I37" s="2"/>
      <x:c r="J37" s="2"/>
    </x:row>
    <x:row r="38" ht="24" customHeight="1">
      <x:c r="A38" s="2"/>
      <x:c r="B38" s="162" t="str">
        <x:v>Standalone enterprise value</x:v>
      </x:c>
      <x:c r="C38" s="155"/>
      <x:c r="D38" s="155" t="n">
        <x:f>SUM(D36:D37)</x:f>
        <x:v>10253.787458672992</x:v>
      </x:c>
      <x:c r="E38" s="155"/>
      <x:c r="F38" s="155"/>
      <x:c r="G38" s="155"/>
      <x:c r="H38" s="155"/>
      <x:c r="I38" s="2"/>
      <x:c r="J38" s="2"/>
    </x:row>
    <x:row r="39" ht="24" customHeight="1">
      <x:c r="A39" s="2"/>
      <x:c r="B39" s="2" t="str">
        <x:v>Terminal value / enterprise value</x:v>
      </x:c>
      <x:c r="C39" s="3"/>
      <x:c r="D39" s="29" t="n">
        <x:f>D36/D38</x:f>
        <x:v>0.6973448039238874</x:v>
      </x:c>
      <x:c r="E39" s="3"/>
      <x:c r="F39" s="3"/>
      <x:c r="G39" s="3"/>
      <x:c r="H39" s="3"/>
      <x:c r="I39" s="2"/>
      <x:c r="J39" s="2"/>
    </x:row>
    <x:row r="40" ht="24" customHeight="1">
      <x:c r="A40" s="2"/>
      <x:c r="B40" s="2"/>
      <x:c r="C40" s="3"/>
      <x:c r="D40" s="3"/>
      <x:c r="E40" s="3"/>
      <x:c r="F40" s="3"/>
      <x:c r="G40" s="3"/>
      <x:c r="H40" s="3"/>
      <x:c r="I40" s="2"/>
      <x:c r="J40" s="2"/>
    </x:row>
    <x:row r="41" ht="27" customHeight="1">
      <x:c r="A41" s="2"/>
      <x:c r="B41" s="137" t="str">
        <x:v>ENTERPRISE VALUE TO EQUITY VALUE</x:v>
      </x:c>
      <x:c r="C41" s="141"/>
      <x:c r="D41" s="141"/>
      <x:c r="E41" s="141"/>
      <x:c r="F41" s="141"/>
      <x:c r="G41" s="141"/>
      <x:c r="H41" s="141"/>
      <x:c r="I41" s="2"/>
      <x:c r="J41" s="2"/>
    </x:row>
    <x:row r="42" ht="24" customHeight="1">
      <x:c r="A42" s="2"/>
      <x:c r="B42" s="2" t="str">
        <x:v>Gross borrowings, excluding leases</x:v>
      </x:c>
      <x:c r="C42" s="3"/>
      <x:c r="D42" s="28" t="n">
        <x:f>'JB history'!G43</x:f>
        <x:v>13.8038</x:v>
      </x:c>
      <x:c r="E42" s="3"/>
      <x:c r="F42" s="3"/>
      <x:c r="G42" s="3"/>
      <x:c r="H42" s="3"/>
      <x:c r="I42" s="2"/>
      <x:c r="J42" s="2"/>
    </x:row>
    <x:row r="43" ht="24" customHeight="1">
      <x:c r="A43" s="2"/>
      <x:c r="B43" s="2" t="str">
        <x:v>Cash and current investments</x:v>
      </x:c>
      <x:c r="C43" s="3"/>
      <x:c r="D43" s="28" t="n">
        <x:f>'JB history'!G41+'JB history'!G42</x:f>
        <x:v>432.1995</x:v>
      </x:c>
      <x:c r="E43" s="3"/>
      <x:c r="F43" s="3"/>
      <x:c r="G43" s="3"/>
      <x:c r="H43" s="3"/>
      <x:c r="I43" s="2"/>
      <x:c r="J43" s="2"/>
    </x:row>
    <x:row r="44" ht="24" customHeight="1">
      <x:c r="A44" s="2"/>
      <x:c r="B44" s="2" t="str">
        <x:v>Less: operating liquidity retained</x:v>
      </x:c>
      <x:c r="C44" s="3"/>
      <x:c r="D44" s="28" t="n">
        <x:f>'Valuation inputs'!$E$31</x:f>
        <x:v>50</x:v>
      </x:c>
      <x:c r="E44" s="3"/>
      <x:c r="F44" s="3"/>
      <x:c r="G44" s="3"/>
      <x:c r="H44" s="3"/>
      <x:c r="I44" s="2"/>
      <x:c r="J44" s="2"/>
    </x:row>
    <x:row r="45" ht="24" customHeight="1">
      <x:c r="A45" s="2"/>
      <x:c r="B45" s="2" t="str">
        <x:v>Excess liquid assets added</x:v>
      </x:c>
      <x:c r="C45" s="3"/>
      <x:c r="D45" s="3" t="n">
        <x:f>MAX(D43-D44,0)</x:f>
        <x:v>382.1995</x:v>
      </x:c>
      <x:c r="E45" s="3"/>
      <x:c r="F45" s="3"/>
      <x:c r="G45" s="3"/>
      <x:c r="H45" s="3"/>
      <x:c r="I45" s="2"/>
      <x:c r="J45" s="2"/>
    </x:row>
    <x:row r="46" ht="24" customHeight="1">
      <x:c r="A46" s="2"/>
      <x:c r="B46" s="2" t="str">
        <x:v>Additional non-operating assets</x:v>
      </x:c>
      <x:c r="C46" s="3"/>
      <x:c r="D46" s="28" t="n">
        <x:f>'Valuation inputs'!$E$30</x:f>
        <x:v>0</x:v>
      </x:c>
      <x:c r="E46" s="3"/>
      <x:c r="F46" s="3"/>
      <x:c r="G46" s="3"/>
      <x:c r="H46" s="3"/>
      <x:c r="I46" s="2"/>
      <x:c r="J46" s="2"/>
    </x:row>
    <x:row r="47" ht="24" customHeight="1">
      <x:c r="A47" s="2"/>
      <x:c r="B47" s="2" t="str">
        <x:v>Other equity claims / adjustments</x:v>
      </x:c>
      <x:c r="C47" s="3"/>
      <x:c r="D47" s="28" t="n">
        <x:f>'Valuation inputs'!$E$32</x:f>
        <x:v>0</x:v>
      </x:c>
      <x:c r="E47" s="3"/>
      <x:c r="F47" s="3"/>
      <x:c r="G47" s="3"/>
      <x:c r="H47" s="3"/>
      <x:c r="I47" s="2"/>
      <x:c r="J47" s="2"/>
    </x:row>
    <x:row r="48" ht="24" customHeight="1">
      <x:c r="A48" s="2"/>
      <x:c r="B48" s="2" t="str">
        <x:v>Future ESOP exercise proceeds</x:v>
      </x:c>
      <x:c r="C48" s="3"/>
      <x:c r="D48" s="28" t="n">
        <x:f>'Valuation inputs'!$E$33</x:f>
        <x:v>0</x:v>
      </x:c>
      <x:c r="E48" s="3"/>
      <x:c r="F48" s="3"/>
      <x:c r="G48" s="3"/>
      <x:c r="H48" s="3"/>
      <x:c r="I48" s="2"/>
      <x:c r="J48" s="2"/>
    </x:row>
    <x:row r="49" ht="24" customHeight="1">
      <x:c r="A49" s="2"/>
      <x:c r="B49" s="162" t="str">
        <x:v>Standalone equity value</x:v>
      </x:c>
      <x:c r="C49" s="155"/>
      <x:c r="D49" s="155" t="n">
        <x:f>D38-D42+D45+D46-D47+D48</x:f>
        <x:v>10622.183158672993</x:v>
      </x:c>
      <x:c r="E49" s="155"/>
      <x:c r="F49" s="155"/>
      <x:c r="G49" s="155"/>
      <x:c r="H49" s="155"/>
      <x:c r="I49" s="2"/>
      <x:c r="J49" s="2"/>
    </x:row>
    <x:row r="50" ht="24" customHeight="1">
      <x:c r="A50" s="2"/>
      <x:c r="B50" s="2" t="str">
        <x:v>Shares for valuation (crore)</x:v>
      </x:c>
      <x:c r="C50" s="3"/>
      <x:c r="D50" s="158" t="n">
        <x:f>'Sources and uses'!C9</x:f>
        <x:v>16.0558706</x:v>
      </x:c>
      <x:c r="E50" s="3"/>
      <x:c r="F50" s="3"/>
      <x:c r="G50" s="3"/>
      <x:c r="H50" s="3"/>
      <x:c r="I50" s="2"/>
      <x:c r="J50" s="2"/>
    </x:row>
    <x:row r="51" ht="24" customHeight="1">
      <x:c r="A51" s="2"/>
      <x:c r="B51" s="162" t="str">
        <x:v>Standalone value per share (INR)</x:v>
      </x:c>
      <x:c r="C51" s="155"/>
      <x:c r="D51" s="165" t="n">
        <x:f>D49/D50</x:f>
        <x:v>661.5762809319723</x:v>
      </x:c>
      <x:c r="E51" s="155"/>
      <x:c r="F51" s="155"/>
      <x:c r="G51" s="155"/>
      <x:c r="H51" s="155"/>
      <x:c r="I51" s="2"/>
      <x:c r="J51" s="2"/>
    </x:row>
    <x:row r="52" ht="24" customHeight="1">
      <x:c r="A52" s="2"/>
      <x:c r="B52" s="2"/>
      <x:c r="C52" s="3"/>
      <x:c r="D52" s="3"/>
      <x:c r="E52" s="3"/>
      <x:c r="F52" s="3"/>
      <x:c r="G52" s="3"/>
      <x:c r="H52" s="3"/>
      <x:c r="I52" s="2"/>
      <x:c r="J52" s="2"/>
    </x:row>
    <x:row r="53" ht="27" customHeight="1">
      <x:c r="A53" s="2"/>
      <x:c r="B53" s="137" t="str">
        <x:v>VALUE PER SHARE — LIVE WACC / GROWTH SENSITIVITY</x:v>
      </x:c>
      <x:c r="C53" s="141"/>
      <x:c r="D53" s="141"/>
      <x:c r="E53" s="141"/>
      <x:c r="F53" s="141"/>
      <x:c r="G53" s="141"/>
      <x:c r="H53" s="141"/>
      <x:c r="I53" s="2"/>
      <x:c r="J53" s="2"/>
    </x:row>
    <x:row r="54" ht="24" customHeight="1">
      <x:c r="A54" s="2"/>
      <x:c r="B54" s="2"/>
      <x:c r="C54" s="3"/>
      <x:c r="D54" s="3"/>
      <x:c r="E54" s="3"/>
      <x:c r="F54" s="3"/>
      <x:c r="G54" s="3"/>
      <x:c r="H54" s="3"/>
      <x:c r="I54" s="2"/>
      <x:c r="J54" s="2"/>
    </x:row>
    <x:row r="55" ht="24" customHeight="1">
      <x:c r="A55" s="2"/>
      <x:c r="B55" s="2"/>
      <x:c r="C55" s="3" t="str">
        <x:v>WACC / growth</x:v>
      </x:c>
      <x:c r="D55" s="76" t="n">
        <x:f>$D$29+-2*'Valuation inputs'!$E$36</x:f>
        <x:v>0.03</x:v>
      </x:c>
      <x:c r="E55" s="76" t="n">
        <x:f>$D$29+-1*'Valuation inputs'!$E$36</x:f>
        <x:v>0.035</x:v>
      </x:c>
      <x:c r="F55" s="76" t="n">
        <x:f>$D$29+0*'Valuation inputs'!$E$36</x:f>
        <x:v>0.04</x:v>
      </x:c>
      <x:c r="G55" s="76" t="n">
        <x:f>$D$29+1*'Valuation inputs'!$E$36</x:f>
        <x:v>0.045</x:v>
      </x:c>
      <x:c r="H55" s="76" t="n">
        <x:f>$D$29+2*'Valuation inputs'!$E$36</x:f>
        <x:v>0.05</x:v>
      </x:c>
      <x:c r="I55" s="2"/>
      <x:c r="J55" s="2"/>
    </x:row>
    <x:row r="56" ht="24" customHeight="1">
      <x:c r="A56" s="2"/>
      <x:c r="B56" s="2"/>
      <x:c r="C56" s="76" t="n">
        <x:f>$D$28+-2*'Valuation inputs'!$E$35</x:f>
        <x:v>0.10556167432500525</x:v>
      </x:c>
      <x:c r="D56" s="14" t="n">
        <x:f>IF(AND($C56&gt;D$55,D$55&gt;=0,$D$30&gt;D$55),(($D$22/(1+$C56)^$D$23+$E$22/(1+$C56)^$E$23+$F$22/(1+$C56)^$F$23+$G$22/(1+$C56)^$G$23+$H$22/(1+$C56)^$H$23)+$H$15*(1+D$55)*(1-D$55/$D$30)/($C56-D$55)/(1+$C56)^$H$23-$D$42+$D$45+$D$46-$D$47+$D$48)/$D$50,NA())</x:f>
        <x:v>723.5423214397605</x:v>
      </x:c>
      <x:c r="E56" s="14" t="n">
        <x:f>IF(AND($C56&gt;E$55,E$55&gt;=0,$D$30&gt;E$55),(($D$22/(1+$C56)^$D$23+$E$22/(1+$C56)^$E$23+$F$22/(1+$C56)^$F$23+$G$22/(1+$C56)^$G$23+$H$22/(1+$C56)^$H$23)+$H$15*(1+E$55)*(1-E$55/$D$30)/($C56-E$55)/(1+$C56)^$H$23-$D$42+$D$45+$D$46-$D$47+$D$48)/$D$50,NA())</x:f>
        <x:v>739.2223940545284</x:v>
      </x:c>
      <x:c r="F56" s="14" t="n">
        <x:f>IF(AND($C56&gt;F$55,F$55&gt;=0,$D$30&gt;F$55),(($D$22/(1+$C56)^$D$23+$E$22/(1+$C56)^$E$23+$F$22/(1+$C56)^$F$23+$G$22/(1+$C56)^$G$23+$H$22/(1+$C56)^$H$23)+$H$15*(1+F$55)*(1-F$55/$D$30)/($C56-F$55)/(1+$C56)^$H$23-$D$42+$D$45+$D$46-$D$47+$D$48)/$D$50,NA())</x:f>
        <x:v>757.0599753021822</x:v>
      </x:c>
      <x:c r="G56" s="14" t="n">
        <x:f>IF(AND($C56&gt;G$55,G$55&gt;=0,$D$30&gt;G$55),(($D$22/(1+$C56)^$D$23+$E$22/(1+$C56)^$E$23+$F$22/(1+$C56)^$F$23+$G$22/(1+$C56)^$G$23+$H$22/(1+$C56)^$H$23)+$H$15*(1+G$55)*(1-G$55/$D$30)/($C56-G$55)/(1+$C56)^$H$23-$D$42+$D$45+$D$46-$D$47+$D$48)/$D$50,NA())</x:f>
        <x:v>777.5894399313391</x:v>
      </x:c>
      <x:c r="H56" s="14" t="n">
        <x:f>IF(AND($C56&gt;H$55,H$55&gt;=0,$D$30&gt;H$55),(($D$22/(1+$C56)^$D$23+$E$22/(1+$C56)^$E$23+$F$22/(1+$C56)^$F$23+$G$22/(1+$C56)^$G$23+$H$22/(1+$C56)^$H$23)+$H$15*(1+H$55)*(1-H$55/$D$30)/($C56-H$55)/(1+$C56)^$H$23-$D$42+$D$45+$D$46-$D$47+$D$48)/$D$50,NA())</x:f>
        <x:v>801.5375164146936</x:v>
      </x:c>
      <x:c r="I56" s="2"/>
      <x:c r="J56" s="2"/>
    </x:row>
    <x:row r="57" ht="24" customHeight="1">
      <x:c r="A57" s="2"/>
      <x:c r="B57" s="2"/>
      <x:c r="C57" s="76" t="n">
        <x:f>$D$28+-1*'Valuation inputs'!$E$35</x:f>
        <x:v>0.11056167432500524</x:v>
      </x:c>
      <x:c r="D57" s="14" t="n">
        <x:f>IF(AND($C57&gt;D$55,D$55&gt;=0,$D$30&gt;D$55),(($D$22/(1+$C57)^$D$23+$E$22/(1+$C57)^$E$23+$F$22/(1+$C57)^$F$23+$G$22/(1+$C57)^$G$23+$H$22/(1+$C57)^$H$23)+$H$15*(1+D$55)*(1-D$55/$D$30)/($C57-D$55)/(1+$C57)^$H$23-$D$42+$D$45+$D$46-$D$47+$D$48)/$D$50,NA())</x:f>
        <x:v>679.7967885138623</x:v>
      </x:c>
      <x:c r="E57" s="14" t="n">
        <x:f>IF(AND($C57&gt;E$55,E$55&gt;=0,$D$30&gt;E$55),(($D$22/(1+$C57)^$D$23+$E$22/(1+$C57)^$E$23+$F$22/(1+$C57)^$F$23+$G$22/(1+$C57)^$G$23+$H$22/(1+$C57)^$H$23)+$H$15*(1+E$55)*(1-E$55/$D$30)/($C57-E$55)/(1+$C57)^$H$23-$D$42+$D$45+$D$46-$D$47+$D$48)/$D$50,NA())</x:f>
        <x:v>692.1098561459497</x:v>
      </x:c>
      <x:c r="F57" s="14" t="n">
        <x:f>IF(AND($C57&gt;F$55,F$55&gt;=0,$D$30&gt;F$55),(($D$22/(1+$C57)^$D$23+$E$22/(1+$C57)^$E$23+$F$22/(1+$C57)^$F$23+$G$22/(1+$C57)^$G$23+$H$22/(1+$C57)^$H$23)+$H$15*(1+F$55)*(1-F$55/$D$30)/($C57-F$55)/(1+$C57)^$H$23-$D$42+$D$45+$D$46-$D$47+$D$48)/$D$50,NA())</x:f>
        <x:v>705.9549960902804</x:v>
      </x:c>
      <x:c r="G57" s="14" t="n">
        <x:f>IF(AND($C57&gt;G$55,G$55&gt;=0,$D$30&gt;G$55),(($D$22/(1+$C57)^$D$23+$E$22/(1+$C57)^$E$23+$F$22/(1+$C57)^$F$23+$G$22/(1+$C57)^$G$23+$H$22/(1+$C57)^$H$23)+$H$15*(1+G$55)*(1-G$55/$D$30)/($C57-G$55)/(1+$C57)^$H$23-$D$42+$D$45+$D$46-$D$47+$D$48)/$D$50,NA())</x:f>
        <x:v>721.6827345486365</x:v>
      </x:c>
      <x:c r="H57" s="14" t="n">
        <x:f>IF(AND($C57&gt;H$55,H$55&gt;=0,$D$30&gt;H$55),(($D$22/(1+$C57)^$D$23+$E$22/(1+$C57)^$E$23+$F$22/(1+$C57)^$F$23+$G$22/(1+$C57)^$G$23+$H$22/(1+$C57)^$H$23)+$H$15*(1+H$55)*(1-H$55/$D$30)/($C57-H$55)/(1+$C57)^$H$23-$D$42+$D$45+$D$46-$D$47+$D$48)/$D$50,NA())</x:f>
        <x:v>739.7593561478083</x:v>
      </x:c>
      <x:c r="I57" s="2"/>
      <x:c r="J57" s="2"/>
    </x:row>
    <x:row r="58" ht="24" customHeight="1">
      <x:c r="A58" s="2"/>
      <x:c r="B58" s="2"/>
      <x:c r="C58" s="76" t="n">
        <x:f>$D$28+0*'Valuation inputs'!$E$35</x:f>
        <x:v>0.11556167432500525</x:v>
      </x:c>
      <x:c r="D58" s="14" t="n">
        <x:f>IF(AND($C58&gt;D$55,D$55&gt;=0,$D$30&gt;D$55),(($D$22/(1+$C58)^$D$23+$E$22/(1+$C58)^$E$23+$F$22/(1+$C58)^$F$23+$G$22/(1+$C58)^$G$23+$H$22/(1+$C58)^$H$23)+$H$15*(1+D$55)*(1-D$55/$D$30)/($C58-D$55)/(1+$C58)^$H$23-$D$42+$D$45+$D$46-$D$47+$D$48)/$D$50,NA())</x:f>
        <x:v>641.1552759271038</x:v>
      </x:c>
      <x:c r="E58" s="14" t="n">
        <x:f>IF(AND($C58&gt;E$55,E$55&gt;=0,$D$30&gt;E$55),(($D$22/(1+$C58)^$D$23+$E$22/(1+$C58)^$E$23+$F$22/(1+$C58)^$F$23+$G$22/(1+$C58)^$G$23+$H$22/(1+$C58)^$H$23)+$H$15*(1+E$55)*(1-E$55/$D$30)/($C58-E$55)/(1+$C58)^$H$23-$D$42+$D$45+$D$46-$D$47+$D$48)/$D$50,NA())</x:f>
        <x:v>650.8233532252883</x:v>
      </x:c>
      <x:c r="F58" s="167" t="n">
        <x:f>IF(AND($C58&gt;F$55,F$55&gt;=0,$D$30&gt;F$55),(($D$22/(1+$C58)^$D$23+$E$22/(1+$C58)^$E$23+$F$22/(1+$C58)^$F$23+$G$22/(1+$C58)^$G$23+$H$22/(1+$C58)^$H$23)+$H$15*(1+F$55)*(1-F$55/$D$30)/($C58-F$55)/(1+$C58)^$H$23-$D$42+$D$45+$D$46-$D$47+$D$48)/$D$50,NA())</x:f>
        <x:v>661.5762809319723</x:v>
      </x:c>
      <x:c r="G58" s="14" t="n">
        <x:f>IF(AND($C58&gt;G$55,G$55&gt;=0,$D$30&gt;G$55),(($D$22/(1+$C58)^$D$23+$E$22/(1+$C58)^$E$23+$F$22/(1+$C58)^$F$23+$G$22/(1+$C58)^$G$23+$H$22/(1+$C58)^$H$23)+$H$15*(1+G$55)*(1-G$55/$D$30)/($C58-G$55)/(1+$C58)^$H$23-$D$42+$D$45+$D$46-$D$47+$D$48)/$D$50,NA())</x:f>
        <x:v>673.6446765358012</x:v>
      </x:c>
      <x:c r="H58" s="14" t="n">
        <x:f>IF(AND($C58&gt;H$55,H$55&gt;=0,$D$30&gt;H$55),(($D$22/(1+$C58)^$D$23+$E$22/(1+$C58)^$E$23+$F$22/(1+$C58)^$F$23+$G$22/(1+$C58)^$G$23+$H$22/(1+$C58)^$H$23)+$H$15*(1+H$55)*(1-H$55/$D$30)/($C58-H$55)/(1+$C58)^$H$23-$D$42+$D$45+$D$46-$D$47+$D$48)/$D$50,NA())</x:f>
        <x:v>687.3295088369222</x:v>
      </x:c>
      <x:c r="I58" s="2"/>
      <x:c r="J58" s="2"/>
    </x:row>
    <x:row r="59" ht="24" customHeight="1">
      <x:c r="A59" s="2"/>
      <x:c r="B59" s="2"/>
      <x:c r="C59" s="76" t="n">
        <x:f>$D$28+1*'Valuation inputs'!$E$35</x:f>
        <x:v>0.12056167432500525</x:v>
      </x:c>
      <x:c r="D59" s="14" t="n">
        <x:f>IF(AND($C59&gt;D$55,D$55&gt;=0,$D$30&gt;D$55),(($D$22/(1+$C59)^$D$23+$E$22/(1+$C59)^$E$23+$F$22/(1+$C59)^$F$23+$G$22/(1+$C59)^$G$23+$H$22/(1+$C59)^$H$23)+$H$15*(1+D$55)*(1-D$55/$D$30)/($C59-D$55)/(1+$C59)^$H$23-$D$42+$D$45+$D$46-$D$47+$D$48)/$D$50,NA())</x:f>
        <x:v>606.772896283639</x:v>
      </x:c>
      <x:c r="E59" s="14" t="n">
        <x:f>IF(AND($C59&gt;E$55,E$55&gt;=0,$D$30&gt;E$55),(($D$22/(1+$C59)^$D$23+$E$22/(1+$C59)^$E$23+$F$22/(1+$C59)^$F$23+$G$22/(1+$C59)^$G$23+$H$22/(1+$C59)^$H$23)+$H$15*(1+E$55)*(1-E$55/$D$30)/($C59-E$55)/(1+$C59)^$H$23-$D$42+$D$45+$D$46-$D$47+$D$48)/$D$50,NA())</x:f>
        <x:v>614.3423922252169</x:v>
      </x:c>
      <x:c r="F59" s="14" t="n">
        <x:f>IF(AND($C59&gt;F$55,F$55&gt;=0,$D$30&gt;F$55),(($D$22/(1+$C59)^$D$23+$E$22/(1+$C59)^$E$23+$F$22/(1+$C59)^$F$23+$G$22/(1+$C59)^$G$23+$H$22/(1+$C59)^$H$23)+$H$15*(1+F$55)*(1-F$55/$D$30)/($C59-F$55)/(1+$C59)^$H$23-$D$42+$D$45+$D$46-$D$47+$D$48)/$D$50,NA())</x:f>
        <x:v>622.6727542761382</x:v>
      </x:c>
      <x:c r="G59" s="14" t="n">
        <x:f>IF(AND($C59&gt;G$55,G$55&gt;=0,$D$30&gt;G$55),(($D$22/(1+$C59)^$D$23+$E$22/(1+$C59)^$E$23+$F$22/(1+$C59)^$F$23+$G$22/(1+$C59)^$G$23+$H$22/(1+$C59)^$H$23)+$H$15*(1+G$55)*(1-G$55/$D$30)/($C59-G$55)/(1+$C59)^$H$23-$D$42+$D$45+$D$46-$D$47+$D$48)/$D$50,NA())</x:f>
        <x:v>631.9150245055744</x:v>
      </x:c>
      <x:c r="H59" s="14" t="n">
        <x:f>IF(AND($C59&gt;H$55,H$55&gt;=0,$D$30&gt;H$55),(($D$22/(1+$C59)^$D$23+$E$22/(1+$C59)^$E$23+$F$22/(1+$C59)^$F$23+$G$22/(1+$C59)^$G$23+$H$22/(1+$C59)^$H$23)+$H$15*(1+H$55)*(1-H$55/$D$30)/($C59-H$55)/(1+$C59)^$H$23-$D$42+$D$45+$D$46-$D$47+$D$48)/$D$50,NA())</x:f>
        <x:v>642.2630563447063</x:v>
      </x:c>
      <x:c r="I59" s="2"/>
      <x:c r="J59" s="2"/>
    </x:row>
    <x:row r="60" ht="24" customHeight="1">
      <x:c r="A60" s="2"/>
      <x:c r="B60" s="2"/>
      <x:c r="C60" s="76" t="n">
        <x:f>$D$28+2*'Valuation inputs'!$E$35</x:f>
        <x:v>0.12556167432500526</x:v>
      </x:c>
      <x:c r="D60" s="14" t="n">
        <x:f>IF(AND($C60&gt;D$55,D$55&gt;=0,$D$30&gt;D$55),(($D$22/(1+$C60)^$D$23+$E$22/(1+$C60)^$E$23+$F$22/(1+$C60)^$F$23+$G$22/(1+$C60)^$G$23+$H$22/(1+$C60)^$H$23)+$H$15*(1+D$55)*(1-D$55/$D$30)/($C60-D$55)/(1+$C60)^$H$23-$D$42+$D$45+$D$46-$D$47+$D$48)/$D$50,NA())</x:f>
        <x:v>575.9815664163216</x:v>
      </x:c>
      <x:c r="E60" s="14" t="n">
        <x:f>IF(AND($C60&gt;E$55,E$55&gt;=0,$D$30&gt;E$55),(($D$22/(1+$C60)^$D$23+$E$22/(1+$C60)^$E$23+$F$22/(1+$C60)^$F$23+$G$22/(1+$C60)^$G$23+$H$22/(1+$C60)^$H$23)+$H$15*(1+E$55)*(1-E$55/$D$30)/($C60-E$55)/(1+$C60)^$H$23-$D$42+$D$45+$D$46-$D$47+$D$48)/$D$50,NA())</x:f>
        <x:v>581.8718163947879</x:v>
      </x:c>
      <x:c r="F60" s="14" t="n">
        <x:f>IF(AND($C60&gt;F$55,F$55&gt;=0,$D$30&gt;F$55),(($D$22/(1+$C60)^$D$23+$E$22/(1+$C60)^$E$23+$F$22/(1+$C60)^$F$23+$G$22/(1+$C60)^$G$23+$H$22/(1+$C60)^$H$23)+$H$15*(1+F$55)*(1-F$55/$D$30)/($C60-F$55)/(1+$C60)^$H$23-$D$42+$D$45+$D$46-$D$47+$D$48)/$D$50,NA())</x:f>
        <x:v>588.2857318556578</x:v>
      </x:c>
      <x:c r="G60" s="14" t="n">
        <x:f>IF(AND($C60&gt;G$55,G$55&gt;=0,$D$30&gt;G$55),(($D$22/(1+$C60)^$D$23+$E$22/(1+$C60)^$E$23+$F$22/(1+$C60)^$F$23+$G$22/(1+$C60)^$G$23+$H$22/(1+$C60)^$H$23)+$H$15*(1+G$55)*(1-G$55/$D$30)/($C60-G$55)/(1+$C60)^$H$23-$D$42+$D$45+$D$46-$D$47+$D$48)/$D$50,NA())</x:f>
        <x:v>595.3208155172134</x:v>
      </x:c>
      <x:c r="H60" s="14" t="n">
        <x:f>IF(AND($C60&gt;H$55,H$55&gt;=0,$D$30&gt;H$55),(($D$22/(1+$C60)^$D$23+$E$22/(1+$C60)^$E$23+$F$22/(1+$C60)^$F$23+$G$22/(1+$C60)^$G$23+$H$22/(1+$C60)^$H$23)+$H$15*(1+H$55)*(1-H$55/$D$30)/($C60-H$55)/(1+$C60)^$H$23-$D$42+$D$45+$D$46-$D$47+$D$48)/$D$50,NA())</x:f>
        <x:v>603.1003775508285</x:v>
      </x:c>
      <x:c r="I60" s="2"/>
      <x:c r="J60" s="2"/>
    </x:row>
    <x:row r="61" ht="24" customHeight="1">
      <x:c r="A61" s="2"/>
      <x:c r="B61" s="2"/>
      <x:c r="C61" s="3"/>
      <x:c r="D61" s="3"/>
      <x:c r="E61" s="3"/>
      <x:c r="F61" s="3"/>
      <x:c r="G61" s="3"/>
      <x:c r="H61" s="3"/>
      <x:c r="I61" s="2"/>
      <x:c r="J61" s="2"/>
    </x:row>
    <x:row r="62" ht="49" customHeight="1">
      <x:c r="A62" s="2"/>
      <x:c r="B62" s="86" t="str">
        <x:v>Each sensitivity cell re-discounts the same operating forecast and recalculates terminal reinvestment for its growth rate. The highlighted centre matches the base value per share. This is a formula grid, not a native Excel What-If Data Table.</x:v>
      </x:c>
      <x:c r="C62" s="103"/>
      <x:c r="D62" s="103"/>
      <x:c r="E62" s="103"/>
      <x:c r="F62" s="103"/>
      <x:c r="G62" s="103"/>
      <x:c r="H62" s="103"/>
      <x:c r="I62" s="2"/>
      <x:c r="J62" s="2"/>
    </x:row>
    <x:row r="63" ht="24" customHeight="1">
      <x:c r="A63" s="2"/>
      <x:c r="B63" s="2"/>
      <x:c r="C63" s="3"/>
      <x:c r="D63" s="3"/>
      <x:c r="E63" s="3"/>
      <x:c r="F63" s="3"/>
      <x:c r="G63" s="3"/>
      <x:c r="H63" s="3"/>
      <x:c r="I63" s="2"/>
      <x:c r="J63" s="2"/>
    </x:row>
    <x:row r="64" ht="27" customHeight="1">
      <x:c r="A64" s="2"/>
      <x:c r="B64" s="137" t="str">
        <x:v>RECONCILIATIONS</x:v>
      </x:c>
      <x:c r="C64" s="141"/>
      <x:c r="D64" s="141"/>
      <x:c r="E64" s="141"/>
      <x:c r="F64" s="141"/>
      <x:c r="G64" s="141"/>
      <x:c r="H64" s="141"/>
      <x:c r="I64" s="2"/>
      <x:c r="J64" s="2"/>
    </x:row>
    <x:row r="65" ht="24" customHeight="1">
      <x:c r="A65" s="2"/>
      <x:c r="B65" s="2" t="str">
        <x:v>Explicit cash-flow bridge difference</x:v>
      </x:c>
      <x:c r="C65" s="3"/>
      <x:c r="D65" s="169" t="n">
        <x:f>D20-('JB forecast'!D42-D12*(1-D14)-D11*D14-D19)</x:f>
        <x:v>1.1368683772161603e-13</x:v>
      </x:c>
      <x:c r="E65" s="169" t="n">
        <x:f>E20-('JB forecast'!E42-E12*(1-E14)-E11*E14-E19)</x:f>
        <x:v>0</x:v>
      </x:c>
      <x:c r="F65" s="169" t="n">
        <x:f>F20-('JB forecast'!F42-F12*(1-F14)-F11*F14-F19)</x:f>
        <x:v>0</x:v>
      </x:c>
      <x:c r="G65" s="169" t="n">
        <x:f>G20-('JB forecast'!G42-G12*(1-G14)-G11*G14-G19)</x:f>
        <x:v>0</x:v>
      </x:c>
      <x:c r="H65" s="169" t="n">
        <x:f>H20-('JB forecast'!H42-H12*(1-H14)-H11*H14-H19)</x:f>
        <x:v>-2.2737367544323206e-13</x:v>
      </x:c>
      <x:c r="I65" s="2"/>
      <x:c r="J65" s="2"/>
    </x:row>
    <x:row r="66" ht="24" customHeight="1">
      <x:c r="A66" s="2"/>
      <x:c r="B66" s="2" t="str">
        <x:v>DCF equity bridge difference</x:v>
      </x:c>
      <x:c r="C66" s="3"/>
      <x:c r="D66" s="169" t="n">
        <x:f>D49-(D38-D42+D45+D46-D47+D48)</x:f>
        <x:v>0</x:v>
      </x:c>
      <x:c r="E66" s="169"/>
      <x:c r="F66" s="169"/>
      <x:c r="G66" s="169"/>
      <x:c r="H66" s="169"/>
      <x:c r="I66" s="2"/>
      <x:c r="J66" s="2"/>
    </x:row>
    <x:row r="67" ht="24" customHeight="1">
      <x:c r="A67" s="2"/>
      <x:c r="B67" s="2" t="str">
        <x:v>Sensitivity centre less base value</x:v>
      </x:c>
      <x:c r="C67" s="3"/>
      <x:c r="D67" s="169" t="n">
        <x:f>F58-D51</x:f>
        <x:v>0</x:v>
      </x:c>
      <x:c r="E67" s="169"/>
      <x:c r="F67" s="169"/>
      <x:c r="G67" s="169"/>
      <x:c r="H67" s="169"/>
      <x:c r="I67" s="2"/>
      <x:c r="J67" s="2"/>
    </x:row>
    <x:row r="68" ht="24" customHeight="1">
      <x:c r="A68" s="2"/>
      <x:c r="B68" s="2" t="str">
        <x:v>Terminal reinvestment reconciliation</x:v>
      </x:c>
      <x:c r="C68" s="3"/>
      <x:c r="D68" s="169" t="n">
        <x:f>D33-D32*D29/D30</x:f>
        <x:v>0</x:v>
      </x:c>
      <x:c r="E68" s="169"/>
      <x:c r="F68" s="169"/>
      <x:c r="G68" s="169"/>
      <x:c r="H68" s="169"/>
      <x:c r="I68" s="2"/>
      <x:c r="J68" s="2"/>
    </x:row>
    <x:row r="69" ht="24" customHeight="1">
      <x:c r="A69" s="2"/>
      <x:c r="B69" s="2"/>
      <x:c r="C69" s="3"/>
      <x:c r="D69" s="3"/>
      <x:c r="E69" s="3"/>
      <x:c r="F69" s="3"/>
      <x:c r="G69" s="3"/>
      <x:c r="H69" s="3"/>
      <x:c r="I69" s="2"/>
      <x:c r="J69" s="2"/>
    </x:row>
    <x:row r="70" ht="48" customHeight="1">
      <x:c r="A70" s="2"/>
      <x:c r="B70" s="86" t="str">
        <x:v>Leases: add back ROU depreciation to EBIT, deduct recurring financed lease cash as rent, and exclude ROU depreciation from the D&amp;A add-back. This corrects the operating tax basis and avoids subtracting lease debt twice.</x:v>
      </x:c>
      <x:c r="C70" s="103"/>
      <x:c r="D70" s="103"/>
      <x:c r="E70" s="103"/>
      <x:c r="F70" s="103"/>
      <x:c r="G70" s="103"/>
      <x:c r="H70" s="103"/>
      <x:c r="I70" s="2"/>
      <x:c r="J70" s="2"/>
    </x:row>
    <x:row r="71" ht="47" customHeight="1">
      <x:c r="A71" s="2"/>
      <x:c r="B71" s="86" t="str">
        <x:v>FY26E includes only the estimated cash flow after 29 June 2025. All included cash is discounted at the fiscal year-end. Later years are full years. No acquisition borrowing, interest, synergies or PPA charges enter standalone FCF.</x:v>
      </x:c>
      <x:c r="C71" s="103"/>
      <x:c r="D71" s="103"/>
      <x:c r="E71" s="103"/>
      <x:c r="F71" s="103"/>
      <x:c r="G71" s="103"/>
      <x:c r="H71" s="103"/>
      <x:c r="I71" s="2"/>
      <x:c r="J71" s="2"/>
    </x:row>
    <x:row r="72" ht="47" customHeight="1">
      <x:c r="A72" s="2"/>
      <x:c r="B72" s="86" t="str">
        <x:v>Equity bridge uses FY25 debt and liquidity as announcement-date proxies. JB uses expanded shares including ESOPs; Torrent uses FY25 closing shares. ESOP proceeds and additional non-operating assets are zero assumptions.</x:v>
      </x:c>
      <x:c r="C72" s="103"/>
      <x:c r="D72" s="103"/>
      <x:c r="E72" s="103"/>
      <x:c r="F72" s="103"/>
      <x:c r="G72" s="103"/>
      <x:c r="H72" s="103"/>
      <x:c r="I72" s="2"/>
      <x:c r="J72" s="2"/>
    </x:row>
    <x:row r="73" ht="44" customHeight="1">
      <x:c r="A73" s="2"/>
      <x:c r="B73" s="86" t="str">
        <x:v>Terminal free cash flow = FY31 normalised NOPAT × (1 − growth / terminal ROIC). This replaces the last forecast-year reinvestment profile. The same WACC applies to explicit and terminal cash flow.</x:v>
      </x:c>
      <x:c r="C73" s="103"/>
      <x:c r="D73" s="103"/>
      <x:c r="E73" s="103"/>
      <x:c r="F73" s="103"/>
      <x:c r="G73" s="103"/>
      <x:c r="H73" s="10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row r="91" ht="24" customHeight="1">
      <x:c r="A91" s="2"/>
      <x:c r="B91" s="2"/>
      <x:c r="C91" s="3"/>
      <x:c r="D91" s="3"/>
      <x:c r="E91" s="3"/>
      <x:c r="F91" s="3"/>
      <x:c r="G91" s="3"/>
      <x:c r="H91" s="3"/>
      <x:c r="I91" s="2"/>
      <x:c r="J91" s="2"/>
    </x:row>
    <x:row r="92" ht="24" customHeight="1">
      <x:c r="A92" s="2"/>
      <x:c r="B92" s="2"/>
      <x:c r="C92" s="3"/>
      <x:c r="D92" s="3"/>
      <x:c r="E92" s="3"/>
      <x:c r="F92" s="3"/>
      <x:c r="G92" s="3"/>
      <x:c r="H92" s="3"/>
      <x:c r="I92" s="2"/>
      <x:c r="J92" s="2"/>
    </x:row>
    <x:row r="93" ht="24" customHeight="1">
      <x:c r="A93" s="2"/>
      <x:c r="B93" s="2"/>
      <x:c r="C93" s="3"/>
      <x:c r="D93" s="3"/>
      <x:c r="E93" s="3"/>
      <x:c r="F93" s="3"/>
      <x:c r="G93" s="3"/>
      <x:c r="H93" s="3"/>
      <x:c r="I93" s="2"/>
      <x:c r="J93" s="2"/>
    </x:row>
    <x:row r="94" ht="24" customHeight="1">
      <x:c r="A94" s="2"/>
      <x:c r="B94" s="2"/>
      <x:c r="C94" s="3"/>
      <x:c r="D94" s="3"/>
      <x:c r="E94" s="3"/>
      <x:c r="F94" s="3"/>
      <x:c r="G94" s="3"/>
      <x:c r="H94" s="3"/>
      <x:c r="I94" s="2"/>
      <x:c r="J94" s="2"/>
    </x:row>
  </x:sheetData>
  <x:mergeCells>
    <x:mergeCell ref="B2:H2"/>
    <x:mergeCell ref="B3:H3"/>
    <x:mergeCell ref="B6:H6"/>
    <x:mergeCell ref="B27:H27"/>
    <x:mergeCell ref="B41:H41"/>
    <x:mergeCell ref="B53:H53"/>
    <x:mergeCell ref="B64:H64"/>
    <x:mergeCell ref="B62:H62"/>
    <x:mergeCell ref="B70:H70"/>
    <x:mergeCell ref="B71:H71"/>
    <x:mergeCell ref="B72:H72"/>
    <x:mergeCell ref="B73:H73"/>
  </x:mergeCells>
  <x:conditionalFormatting sqref="D65:H68">
    <x:cfRule type="cellIs" dxfId="7" priority="1" operator="notBetween">
      <x:formula>-0.001</x:formula>
      <x:formula>0.001</x:formula>
    </x:cfRule>
  </x:conditionalFormatting>
  <x:pageMargins left="0.7" right="0.7" top="0.75" bottom="0.75" header="0.3" footer="0.3"/>
</x:worksheet>
</file>

<file path=xl/worksheets/sheet19.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8"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0" hidden="0" customWidth="1"/>
  </x:cols>
  <x:sheetData>
    <x:row r="1" ht="24" customHeight="1">
      <x:c r="A1" s="2"/>
      <x:c r="B1" s="2"/>
      <x:c r="C1" s="2"/>
      <x:c r="D1" s="2"/>
      <x:c r="E1" s="2"/>
      <x:c r="F1" s="2"/>
      <x:c r="G1" s="2"/>
      <x:c r="H1" s="2"/>
      <x:c r="I1" s="2"/>
      <x:c r="J1" s="2"/>
    </x:row>
    <x:row r="2" ht="39" customHeight="1">
      <x:c r="A2" s="2"/>
      <x:c r="B2" s="52" t="str">
        <x:v>Synergies and acquisition value test</x:v>
      </x:c>
      <x:c r="C2" s="52"/>
      <x:c r="D2" s="52"/>
      <x:c r="E2" s="52"/>
      <x:c r="F2" s="52"/>
      <x:c r="G2" s="52"/>
      <x:c r="H2" s="52"/>
      <x:c r="I2" s="2"/>
      <x:c r="J2" s="2"/>
    </x:row>
    <x:row r="3" ht="29" customHeight="1">
      <x:c r="A3" s="2"/>
      <x:c r="B3" s="86" t="str">
        <x:v>29 June 2025 valuation | Nominal INR crore; per-share values in INR | FY26–FY30 estimates.</x:v>
      </x:c>
      <x:c r="C3" s="86"/>
      <x:c r="D3" s="86"/>
      <x:c r="E3" s="86"/>
      <x:c r="F3" s="86"/>
      <x:c r="G3" s="86"/>
      <x:c r="H3" s="86"/>
      <x:c r="I3" s="2"/>
      <x:c r="J3" s="2"/>
    </x:row>
    <x:row r="4" ht="24" customHeight="1">
      <x:c r="A4" s="2"/>
      <x:c r="B4" s="2" t="str">
        <x:v>Operating case</x:v>
      </x:c>
      <x:c r="C4" s="53" t="str">
        <x:f>Assumptions!D4</x:f>
        <x:v>Base</x:v>
      </x:c>
      <x:c r="D4" s="2"/>
      <x:c r="E4" s="2"/>
      <x:c r="F4" s="2" t="str">
        <x:v>Open-offer case</x:v>
      </x:c>
      <x:c r="G4" s="53" t="str">
        <x:f>'Deal inputs'!D4</x:f>
        <x:v>Partial</x:v>
      </x:c>
      <x:c r="H4" s="2"/>
      <x:c r="I4" s="2"/>
      <x:c r="J4" s="2"/>
    </x:row>
    <x:row r="5" ht="24" customHeight="1">
      <x:c r="A5" s="2"/>
      <x:c r="B5" s="2"/>
      <x:c r="C5" s="2"/>
      <x:c r="D5" s="2" t="str">
        <x:v>FY26E</x:v>
      </x:c>
      <x:c r="E5" s="2" t="str">
        <x:v>FY27E</x:v>
      </x:c>
      <x:c r="F5" s="2" t="str">
        <x:v>FY28E</x:v>
      </x:c>
      <x:c r="G5" s="2" t="str">
        <x:v>FY29E</x:v>
      </x:c>
      <x:c r="H5" s="2" t="str">
        <x:v>FY30E</x:v>
      </x:c>
      <x:c r="I5" s="2"/>
      <x:c r="J5" s="2"/>
    </x:row>
    <x:row r="6" ht="27" customHeight="1">
      <x:c r="A6" s="2"/>
      <x:c r="B6" s="137" t="str">
        <x:v>EXPECTED OPERATING SAVINGS — SEPARATE FROM STANDALONE DCF</x:v>
      </x:c>
      <x:c r="C6" s="137"/>
      <x:c r="D6" s="137"/>
      <x:c r="E6" s="137"/>
      <x:c r="F6" s="137"/>
      <x:c r="G6" s="137"/>
      <x:c r="H6" s="137"/>
      <x:c r="I6" s="2"/>
      <x:c r="J6" s="2"/>
    </x:row>
    <x:row r="7" ht="24" customHeight="1">
      <x:c r="A7" s="2"/>
      <x:c r="B7" s="2" t="str">
        <x:v>Full annual recurring synergy</x:v>
      </x:c>
      <x:c r="C7" s="3"/>
      <x:c r="D7" s="28" t="n">
        <x:f>'Deal inputs'!$C$35</x:f>
        <x:v>300</x:v>
      </x:c>
      <x:c r="E7" s="28" t="n">
        <x:f>'Deal inputs'!$C$35</x:f>
        <x:v>300</x:v>
      </x:c>
      <x:c r="F7" s="28" t="n">
        <x:f>'Deal inputs'!$C$35</x:f>
        <x:v>300</x:v>
      </x:c>
      <x:c r="G7" s="28" t="n">
        <x:f>'Deal inputs'!$C$35</x:f>
        <x:v>300</x:v>
      </x:c>
      <x:c r="H7" s="28" t="n">
        <x:f>'Deal inputs'!$C$35</x:f>
        <x:v>300</x:v>
      </x:c>
      <x:c r="I7" s="2"/>
      <x:c r="J7" s="2"/>
    </x:row>
    <x:row r="8" ht="24" customHeight="1">
      <x:c r="A8" s="2"/>
      <x:c r="B8" s="2" t="str">
        <x:v>Synergy ramp from transaction model</x:v>
      </x:c>
      <x:c r="C8" s="3"/>
      <x:c r="D8" s="76" t="n">
        <x:f>'Deal inputs'!D45</x:f>
        <x:v>0.2</x:v>
      </x:c>
      <x:c r="E8" s="76" t="n">
        <x:f>'Deal inputs'!E45</x:f>
        <x:v>0.5</x:v>
      </x:c>
      <x:c r="F8" s="76" t="n">
        <x:f>'Deal inputs'!F45</x:f>
        <x:v>0.8</x:v>
      </x:c>
      <x:c r="G8" s="76" t="n">
        <x:f>'Deal inputs'!G45</x:f>
        <x:v>1</x:v>
      </x:c>
      <x:c r="H8" s="76" t="n">
        <x:f>'Deal inputs'!H45</x:f>
        <x:v>1</x:v>
      </x:c>
      <x:c r="I8" s="2"/>
      <x:c r="J8" s="2"/>
    </x:row>
    <x:row r="9" ht="24" customHeight="1">
      <x:c r="A9" s="2"/>
      <x:c r="B9" s="2" t="str">
        <x:v>Probability of gross savings delivered</x:v>
      </x:c>
      <x:c r="C9" s="3"/>
      <x:c r="D9" s="76" t="n">
        <x:f>'Valuation inputs'!$D$39</x:f>
        <x:v>0.75</x:v>
      </x:c>
      <x:c r="E9" s="76" t="n">
        <x:f>'Valuation inputs'!$D$39</x:f>
        <x:v>0.75</x:v>
      </x:c>
      <x:c r="F9" s="76" t="n">
        <x:f>'Valuation inputs'!$D$39</x:f>
        <x:v>0.75</x:v>
      </x:c>
      <x:c r="G9" s="76" t="n">
        <x:f>'Valuation inputs'!$D$39</x:f>
        <x:v>0.75</x:v>
      </x:c>
      <x:c r="H9" s="76" t="n">
        <x:f>'Valuation inputs'!$D$39</x:f>
        <x:v>0.75</x:v>
      </x:c>
      <x:c r="I9" s="2"/>
      <x:c r="J9" s="2"/>
    </x:row>
    <x:row r="10" ht="24" customHeight="1">
      <x:c r="A10" s="2"/>
      <x:c r="B10" s="2" t="str">
        <x:v>Fraction of year available</x:v>
      </x:c>
      <x:c r="C10" s="3"/>
      <x:c r="D10" s="76" t="n">
        <x:f>'Valuation inputs'!$C$10</x:f>
        <x:v>0.7534246575342466</x:v>
      </x:c>
      <x:c r="E10" s="29" t="n">
        <x:f>1</x:f>
        <x:v>1</x:v>
      </x:c>
      <x:c r="F10" s="29" t="n">
        <x:f>1</x:f>
        <x:v>1</x:v>
      </x:c>
      <x:c r="G10" s="29" t="n">
        <x:f>1</x:f>
        <x:v>1</x:v>
      </x:c>
      <x:c r="H10" s="29" t="n">
        <x:f>1</x:f>
        <x:v>1</x:v>
      </x:c>
      <x:c r="I10" s="2"/>
      <x:c r="J10" s="2"/>
    </x:row>
    <x:row r="11" ht="24" customHeight="1">
      <x:c r="A11" s="2"/>
      <x:c r="B11" s="2" t="str">
        <x:v>Expected pre-tax savings</x:v>
      </x:c>
      <x:c r="C11" s="3"/>
      <x:c r="D11" s="3" t="n">
        <x:f>D7*D8*D9*D10</x:f>
        <x:v>33.9041095890411</x:v>
      </x:c>
      <x:c r="E11" s="3" t="n">
        <x:f>E7*E8*E9*E10</x:f>
        <x:v>112.5</x:v>
      </x:c>
      <x:c r="F11" s="3" t="n">
        <x:f>F7*F8*F9*F10</x:f>
        <x:v>180</x:v>
      </x:c>
      <x:c r="G11" s="3" t="n">
        <x:f>G7*G8*G9*G10</x:f>
        <x:v>225</x:v>
      </x:c>
      <x:c r="H11" s="3" t="n">
        <x:f>H7*H8*H9*H10</x:f>
        <x:v>225</x:v>
      </x:c>
      <x:c r="I11" s="2"/>
      <x:c r="J11" s="2"/>
    </x:row>
    <x:row r="12" ht="24" customHeight="1">
      <x:c r="A12" s="2"/>
      <x:c r="B12" s="2" t="str">
        <x:v>After-tax expected savings</x:v>
      </x:c>
      <x:c r="C12" s="3"/>
      <x:c r="D12" s="28" t="n">
        <x:f>D11*(1-'Deal inputs'!$C$34)</x:f>
        <x:v>25.089041095890412</x:v>
      </x:c>
      <x:c r="E12" s="28" t="n">
        <x:f>E11*(1-'Deal inputs'!$C$34)</x:f>
        <x:v>83.25</x:v>
      </x:c>
      <x:c r="F12" s="28" t="n">
        <x:f>F11*(1-'Deal inputs'!$C$34)</x:f>
        <x:v>133.2</x:v>
      </x:c>
      <x:c r="G12" s="28" t="n">
        <x:f>G11*(1-'Deal inputs'!$C$34)</x:f>
        <x:v>166.5</x:v>
      </x:c>
      <x:c r="H12" s="28" t="n">
        <x:f>H11*(1-'Deal inputs'!$C$34)</x:f>
        <x:v>166.5</x:v>
      </x:c>
      <x:c r="I12" s="2"/>
      <x:c r="J12" s="2"/>
    </x:row>
    <x:row r="13" ht="24" customHeight="1">
      <x:c r="A13" s="2"/>
      <x:c r="B13" s="2" t="str">
        <x:v>Integration cash cost</x:v>
      </x:c>
      <x:c r="C13" s="3"/>
      <x:c r="D13" s="28" t="n">
        <x:f>'Deal inputs'!D46</x:f>
        <x:v>150</x:v>
      </x:c>
      <x:c r="E13" s="28" t="n">
        <x:f>'Deal inputs'!E46</x:f>
        <x:v>100</x:v>
      </x:c>
      <x:c r="F13" s="28" t="n">
        <x:f>'Deal inputs'!F46</x:f>
        <x:v>0</x:v>
      </x:c>
      <x:c r="G13" s="28" t="n">
        <x:f>'Deal inputs'!G46</x:f>
        <x:v>0</x:v>
      </x:c>
      <x:c r="H13" s="28" t="n">
        <x:f>'Deal inputs'!H46</x:f>
        <x:v>0</x:v>
      </x:c>
      <x:c r="I13" s="2"/>
      <x:c r="J13" s="2"/>
    </x:row>
    <x:row r="14" ht="24" customHeight="1">
      <x:c r="A14" s="2"/>
      <x:c r="B14" s="2" t="str">
        <x:v>After-tax integration cost</x:v>
      </x:c>
      <x:c r="C14" s="3"/>
      <x:c r="D14" s="28" t="n">
        <x:f>D13*(1-'Deal inputs'!$C$34)</x:f>
        <x:v>111</x:v>
      </x:c>
      <x:c r="E14" s="28" t="n">
        <x:f>E13*(1-'Deal inputs'!$C$34)</x:f>
        <x:v>74</x:v>
      </x:c>
      <x:c r="F14" s="28" t="n">
        <x:f>F13*(1-'Deal inputs'!$C$34)</x:f>
        <x:v>0</x:v>
      </x:c>
      <x:c r="G14" s="28" t="n">
        <x:f>G13*(1-'Deal inputs'!$C$34)</x:f>
        <x:v>0</x:v>
      </x:c>
      <x:c r="H14" s="28" t="n">
        <x:f>H13*(1-'Deal inputs'!$C$34)</x:f>
        <x:v>0</x:v>
      </x:c>
      <x:c r="I14" s="2"/>
      <x:c r="J14" s="2"/>
    </x:row>
    <x:row r="15" ht="24" customHeight="1">
      <x:c r="A15" s="2"/>
      <x:c r="B15" s="162" t="str">
        <x:v>Net expected synergy cash</x:v>
      </x:c>
      <x:c r="C15" s="155"/>
      <x:c r="D15" s="155" t="n">
        <x:f>D12-D14</x:f>
        <x:v>-85.91095890410959</x:v>
      </x:c>
      <x:c r="E15" s="155" t="n">
        <x:f>E12-E14</x:f>
        <x:v>9.25</x:v>
      </x:c>
      <x:c r="F15" s="155" t="n">
        <x:f>F12-F14</x:f>
        <x:v>133.2</x:v>
      </x:c>
      <x:c r="G15" s="155" t="n">
        <x:f>G12-G14</x:f>
        <x:v>166.5</x:v>
      </x:c>
      <x:c r="H15" s="155" t="n">
        <x:f>H12-H14</x:f>
        <x:v>166.5</x:v>
      </x:c>
      <x:c r="I15" s="2"/>
      <x:c r="J15" s="2"/>
    </x:row>
    <x:row r="16" ht="24" customHeight="1">
      <x:c r="A16" s="2"/>
      <x:c r="B16" s="2" t="str">
        <x:v>Years from valuation date</x:v>
      </x:c>
      <x:c r="C16" s="3"/>
      <x:c r="D16" s="158" t="n">
        <x:f>'JB DCF'!D23</x:f>
        <x:v>0.7534246575342466</x:v>
      </x:c>
      <x:c r="E16" s="158" t="n">
        <x:f>'JB DCF'!E23</x:f>
        <x:v>1.7534246575342465</x:v>
      </x:c>
      <x:c r="F16" s="158" t="n">
        <x:f>'JB DCF'!F23</x:f>
        <x:v>2.7534246575342465</x:v>
      </x:c>
      <x:c r="G16" s="158" t="n">
        <x:f>'JB DCF'!G23</x:f>
        <x:v>3.7534246575342465</x:v>
      </x:c>
      <x:c r="H16" s="158" t="n">
        <x:f>'JB DCF'!H23</x:f>
        <x:v>4.7534246575342465</x:v>
      </x:c>
      <x:c r="I16" s="2"/>
      <x:c r="J16" s="2"/>
    </x:row>
    <x:row r="17" ht="24" customHeight="1">
      <x:c r="A17" s="2"/>
      <x:c r="B17" s="2" t="str">
        <x:v>Synergy discount factor</x:v>
      </x:c>
      <x:c r="C17" s="3"/>
      <x:c r="D17" s="29" t="n">
        <x:f>1/(1+$D$25)^D16</x:f>
        <x:v>0.9147388092779545</x:v>
      </x:c>
      <x:c r="E17" s="29" t="n">
        <x:f>1/(1+$D$25)^E16</x:f>
        <x:v>0.8126954125605952</x:v>
      </x:c>
      <x:c r="F17" s="29" t="n">
        <x:f>1/(1+$D$25)^F16</x:f>
        <x:v>0.7220354344847122</x:v>
      </x:c>
      <x:c r="G17" s="29" t="n">
        <x:f>1/(1+$D$25)^G16</x:f>
        <x:v>0.6414890014069766</x:v>
      </x:c>
      <x:c r="H17" s="29" t="n">
        <x:f>1/(1+$D$25)^H16</x:f>
        <x:v>0.5699279000341541</x:v>
      </x:c>
      <x:c r="I17" s="2"/>
      <x:c r="J17" s="2"/>
    </x:row>
    <x:row r="18" ht="24" customHeight="1">
      <x:c r="A18" s="2"/>
      <x:c r="B18" s="2" t="str">
        <x:v>PV of expected savings</x:v>
      </x:c>
      <x:c r="C18" s="3"/>
      <x:c r="D18" s="3" t="n">
        <x:f>D12*D17</x:f>
        <x:v>22.949919577980463</x:v>
      </x:c>
      <x:c r="E18" s="3" t="n">
        <x:f>E12*E17</x:f>
        <x:v>67.65689309566955</x:v>
      </x:c>
      <x:c r="F18" s="3" t="n">
        <x:f>F12*F17</x:f>
        <x:v>96.17511987336366</x:v>
      </x:c>
      <x:c r="G18" s="3" t="n">
        <x:f>G12*G17</x:f>
        <x:v>106.8079187342616</x:v>
      </x:c>
      <x:c r="H18" s="3" t="n">
        <x:f>H12*H17</x:f>
        <x:v>94.89299535568665</x:v>
      </x:c>
      <x:c r="I18" s="2"/>
      <x:c r="J18" s="2"/>
    </x:row>
    <x:row r="19" ht="24" customHeight="1">
      <x:c r="A19" s="2"/>
      <x:c r="B19" s="2" t="str">
        <x:v>PV of integration costs</x:v>
      </x:c>
      <x:c r="C19" s="3"/>
      <x:c r="D19" s="3" t="n">
        <x:f>D14*D17</x:f>
        <x:v>101.53600782985295</x:v>
      </x:c>
      <x:c r="E19" s="3" t="n">
        <x:f>E14*E17</x:f>
        <x:v>60.13946052948404</x:v>
      </x:c>
      <x:c r="F19" s="3" t="n">
        <x:f>F14*F17</x:f>
        <x:v>0</x:v>
      </x:c>
      <x:c r="G19" s="3" t="n">
        <x:f>G14*G17</x:f>
        <x:v>0</x:v>
      </x:c>
      <x:c r="H19" s="3" t="n">
        <x:f>H14*H17</x:f>
        <x:v>0</x:v>
      </x:c>
      <x:c r="I19" s="2"/>
      <x:c r="J19" s="2"/>
    </x:row>
    <x:row r="20" ht="24" customHeight="1">
      <x:c r="A20" s="2"/>
      <x:c r="B20" s="162" t="str">
        <x:v>PV of net synergy cash</x:v>
      </x:c>
      <x:c r="C20" s="155"/>
      <x:c r="D20" s="155" t="n">
        <x:f>D15*D17</x:f>
        <x:v>-78.58608825187248</x:v>
      </x:c>
      <x:c r="E20" s="155" t="n">
        <x:f>E15*E17</x:f>
        <x:v>7.517432566185505</x:v>
      </x:c>
      <x:c r="F20" s="155" t="n">
        <x:f>F15*F17</x:f>
        <x:v>96.17511987336366</x:v>
      </x:c>
      <x:c r="G20" s="155" t="n">
        <x:f>G15*G17</x:f>
        <x:v>106.8079187342616</x:v>
      </x:c>
      <x:c r="H20" s="155" t="n">
        <x:f>H15*H17</x:f>
        <x:v>94.89299535568665</x:v>
      </x:c>
      <x:c r="I20" s="2"/>
      <x:c r="J20" s="2"/>
    </x:row>
    <x:row r="21" ht="24" customHeight="1">
      <x:c r="A21" s="2"/>
      <x:c r="B21" s="2"/>
      <x:c r="C21" s="3"/>
      <x:c r="D21" s="3"/>
      <x:c r="E21" s="3"/>
      <x:c r="F21" s="3"/>
      <x:c r="G21" s="3"/>
      <x:c r="H21" s="3"/>
      <x:c r="I21" s="2"/>
      <x:c r="J21" s="2"/>
    </x:row>
    <x:row r="22" ht="27" customHeight="1">
      <x:c r="A22" s="2"/>
      <x:c r="B22" s="137" t="str">
        <x:v>FINITE-LIFE VALUE OF SYNERGIES</x:v>
      </x:c>
      <x:c r="C22" s="141"/>
      <x:c r="D22" s="141"/>
      <x:c r="E22" s="141"/>
      <x:c r="F22" s="141"/>
      <x:c r="G22" s="141"/>
      <x:c r="H22" s="141"/>
      <x:c r="I22" s="2"/>
      <x:c r="J22" s="2"/>
    </x:row>
    <x:row r="23" ht="24" customHeight="1">
      <x:c r="A23" s="2"/>
      <x:c r="B23" s="2" t="str">
        <x:v>JB standalone WACC</x:v>
      </x:c>
      <x:c r="C23" s="3"/>
      <x:c r="D23" s="76" t="n">
        <x:f>'JB DCF'!D28</x:f>
        <x:v>0.11556167432500525</x:v>
      </x:c>
      <x:c r="E23" s="3"/>
      <x:c r="F23" s="3"/>
      <x:c r="G23" s="3"/>
      <x:c r="H23" s="3"/>
      <x:c r="I23" s="2"/>
      <x:c r="J23" s="2"/>
    </x:row>
    <x:row r="24" ht="24" customHeight="1">
      <x:c r="A24" s="2"/>
      <x:c r="B24" s="2" t="str">
        <x:v>Additional synergy risk rate</x:v>
      </x:c>
      <x:c r="C24" s="3"/>
      <x:c r="D24" s="76" t="n">
        <x:f>'Valuation inputs'!D40</x:f>
        <x:v>0.01</x:v>
      </x:c>
      <x:c r="E24" s="3"/>
      <x:c r="F24" s="3"/>
      <x:c r="G24" s="3"/>
      <x:c r="H24" s="3"/>
      <x:c r="I24" s="2"/>
      <x:c r="J24" s="2"/>
    </x:row>
    <x:row r="25" ht="24" customHeight="1">
      <x:c r="A25" s="2"/>
      <x:c r="B25" s="162" t="str">
        <x:v>Synergy discount rate</x:v>
      </x:c>
      <x:c r="C25" s="155"/>
      <x:c r="D25" s="156" t="n">
        <x:f>D23+D24</x:f>
        <x:v>0.12556167432500526</x:v>
      </x:c>
      <x:c r="E25" s="155"/>
      <x:c r="F25" s="155"/>
      <x:c r="G25" s="155"/>
      <x:c r="H25" s="155"/>
      <x:c r="I25" s="2"/>
      <x:c r="J25" s="2"/>
    </x:row>
    <x:row r="26" ht="24" customHeight="1">
      <x:c r="A26" s="2"/>
      <x:c r="B26" s="2" t="str">
        <x:v>Full savings years after FY30</x:v>
      </x:c>
      <x:c r="C26" s="3"/>
      <x:c r="D26" s="28" t="n">
        <x:f>'Valuation inputs'!D41</x:f>
        <x:v>5</x:v>
      </x:c>
      <x:c r="E26" s="3"/>
      <x:c r="F26" s="3"/>
      <x:c r="G26" s="3"/>
      <x:c r="H26" s="3"/>
      <x:c r="I26" s="2"/>
      <x:c r="J26" s="2"/>
    </x:row>
    <x:row r="27" ht="24" customHeight="1">
      <x:c r="A27" s="2"/>
      <x:c r="B27" s="2" t="str">
        <x:v>Annual after-tax tail savings (flat)</x:v>
      </x:c>
      <x:c r="C27" s="3"/>
      <x:c r="D27" s="28" t="n">
        <x:f>'Deal inputs'!C35*'Valuation inputs'!D39*(1-'Deal inputs'!C34)</x:f>
        <x:v>166.5</x:v>
      </x:c>
      <x:c r="E27" s="3"/>
      <x:c r="F27" s="3"/>
      <x:c r="G27" s="3"/>
      <x:c r="H27" s="3"/>
      <x:c r="I27" s="2"/>
      <x:c r="J27" s="2"/>
    </x:row>
    <x:row r="28" ht="24" customHeight="1">
      <x:c r="A28" s="2"/>
      <x:c r="B28" s="2" t="str">
        <x:v>Tail value at FY30 end</x:v>
      </x:c>
      <x:c r="C28" s="3"/>
      <x:c r="D28" s="3" t="n">
        <x:f>IF(D25&gt;0,D27*(1-(1+D25)^(-D26))/D25,NA())</x:f>
        <x:v>592.0169037243211</x:v>
      </x:c>
      <x:c r="E28" s="3"/>
      <x:c r="F28" s="3"/>
      <x:c r="G28" s="3"/>
      <x:c r="H28" s="3"/>
      <x:c r="I28" s="2"/>
      <x:c r="J28" s="2"/>
    </x:row>
    <x:row r="29" ht="24" customHeight="1">
      <x:c r="A29" s="2"/>
      <x:c r="B29" s="2" t="str">
        <x:v>PV of tail savings</x:v>
      </x:c>
      <x:c r="C29" s="3"/>
      <x:c r="D29" s="3" t="n">
        <x:f>D28*H17</x:f>
        <x:v>337.40695072432425</x:v>
      </x:c>
      <x:c r="E29" s="3"/>
      <x:c r="F29" s="3"/>
      <x:c r="G29" s="3"/>
      <x:c r="H29" s="3"/>
      <x:c r="I29" s="2"/>
      <x:c r="J29" s="2"/>
    </x:row>
    <x:row r="30" ht="24" customHeight="1">
      <x:c r="A30" s="2"/>
      <x:c r="B30" s="162" t="str">
        <x:v>PV of all gross savings</x:v>
      </x:c>
      <x:c r="C30" s="155"/>
      <x:c r="D30" s="155" t="n">
        <x:f>SUM(D18:H18)+D29</x:f>
        <x:v>725.8897973612861</x:v>
      </x:c>
      <x:c r="E30" s="155"/>
      <x:c r="F30" s="155"/>
      <x:c r="G30" s="155"/>
      <x:c r="H30" s="155"/>
      <x:c r="I30" s="2"/>
      <x:c r="J30" s="2"/>
    </x:row>
    <x:row r="31" ht="24" customHeight="1">
      <x:c r="A31" s="2"/>
      <x:c r="B31" s="2" t="str">
        <x:v>PV of integration costs</x:v>
      </x:c>
      <x:c r="C31" s="3"/>
      <x:c r="D31" s="3" t="n">
        <x:f>SUM(D19:H19)</x:f>
        <x:v>161.675468359337</x:v>
      </x:c>
      <x:c r="E31" s="3"/>
      <x:c r="F31" s="3"/>
      <x:c r="G31" s="3"/>
      <x:c r="H31" s="3"/>
      <x:c r="I31" s="2"/>
      <x:c r="J31" s="2"/>
    </x:row>
    <x:row r="32" ht="24" customHeight="1">
      <x:c r="A32" s="2"/>
      <x:c r="B32" s="162" t="str">
        <x:v>Net synergy value</x:v>
      </x:c>
      <x:c r="C32" s="155"/>
      <x:c r="D32" s="155" t="n">
        <x:f>D30-D31</x:f>
        <x:v>564.2143290019492</x:v>
      </x:c>
      <x:c r="E32" s="155"/>
      <x:c r="F32" s="155"/>
      <x:c r="G32" s="155"/>
      <x:c r="H32" s="155"/>
      <x:c r="I32" s="2"/>
      <x:c r="J32" s="2"/>
    </x:row>
    <x:row r="33" ht="24" customHeight="1">
      <x:c r="A33" s="2"/>
      <x:c r="B33" s="2" t="str">
        <x:v>PV per INR 1 of full annual pre-tax savings</x:v>
      </x:c>
      <x:c r="C33" s="3"/>
      <x:c r="D33" s="28" t="n">
        <x:f>IF('Deal inputs'!C35&gt;0,D30/'Deal inputs'!C35,NA())</x:f>
        <x:v>2.4196326578709537</x:v>
      </x:c>
      <x:c r="E33" s="3"/>
      <x:c r="F33" s="3"/>
      <x:c r="G33" s="3"/>
      <x:c r="H33" s="3"/>
      <x:c r="I33" s="2"/>
      <x:c r="J33" s="2"/>
    </x:row>
    <x:row r="34" ht="24" customHeight="1">
      <x:c r="A34" s="2"/>
      <x:c r="B34" s="2"/>
      <x:c r="C34" s="3"/>
      <x:c r="D34" s="3"/>
      <x:c r="E34" s="3"/>
      <x:c r="F34" s="3"/>
      <x:c r="G34" s="3"/>
      <x:c r="H34" s="3"/>
      <x:c r="I34" s="2"/>
      <x:c r="J34" s="2"/>
    </x:row>
    <x:row r="35" ht="24" customHeight="1">
      <x:c r="A35" s="2"/>
      <x:c r="B35" s="2"/>
      <x:c r="C35" s="3"/>
      <x:c r="D35" s="3"/>
      <x:c r="E35" s="3"/>
      <x:c r="F35" s="3"/>
      <x:c r="G35" s="3"/>
      <x:c r="H35" s="3"/>
      <x:c r="I35" s="2"/>
      <x:c r="J35" s="2"/>
    </x:row>
    <x:row r="36" ht="27" customHeight="1">
      <x:c r="A36" s="2"/>
      <x:c r="B36" s="137" t="str">
        <x:v>ANNOUNCED PRICE BENCHMARK — NOT AN ALL-CASH TAKEOVER</x:v>
      </x:c>
      <x:c r="C36" s="141"/>
      <x:c r="D36" s="141"/>
      <x:c r="E36" s="141"/>
      <x:c r="F36" s="141"/>
      <x:c r="G36" s="141"/>
      <x:c r="H36" s="141"/>
      <x:c r="I36" s="2"/>
      <x:c r="J36" s="2"/>
    </x:row>
    <x:row r="37" ht="24" customHeight="1">
      <x:c r="A37" s="2"/>
      <x:c r="B37" s="2" t="str">
        <x:v>Expanded JB shares (crore)</x:v>
      </x:c>
      <x:c r="C37" s="3"/>
      <x:c r="D37" s="158" t="n">
        <x:f>'Sources and uses'!C9</x:f>
        <x:v>16.0558706</x:v>
      </x:c>
      <x:c r="E37" s="3"/>
      <x:c r="F37" s="3"/>
      <x:c r="G37" s="3"/>
      <x:c r="H37" s="3"/>
      <x:c r="I37" s="2"/>
      <x:c r="J37" s="2"/>
    </x:row>
    <x:row r="38" ht="24" customHeight="1">
      <x:c r="A38" s="2"/>
      <x:c r="B38" s="2" t="str">
        <x:v>KKR price benchmark (INR / share)</x:v>
      </x:c>
      <x:c r="C38" s="3"/>
      <x:c r="D38" s="170" t="n">
        <x:f>'Deal inputs'!C16</x:f>
        <x:v>1600</x:v>
      </x:c>
      <x:c r="E38" s="3"/>
      <x:c r="F38" s="3"/>
      <x:c r="G38" s="3"/>
      <x:c r="H38" s="3"/>
      <x:c r="I38" s="2"/>
      <x:c r="J38" s="2"/>
    </x:row>
    <x:row r="39" ht="24" customHeight="1">
      <x:c r="A39" s="2"/>
      <x:c r="B39" s="162" t="str">
        <x:v>100% equity value at KKR price</x:v>
      </x:c>
      <x:c r="C39" s="155"/>
      <x:c r="D39" s="155" t="n">
        <x:f>D37*D38</x:f>
        <x:v>25689.392959999997</x:v>
      </x:c>
      <x:c r="E39" s="155"/>
      <x:c r="F39" s="155"/>
      <x:c r="G39" s="155"/>
      <x:c r="H39" s="155"/>
      <x:c r="I39" s="2"/>
      <x:c r="J39" s="2"/>
    </x:row>
    <x:row r="40" ht="24" customHeight="1">
      <x:c r="A40" s="2"/>
      <x:c r="B40" s="2" t="str">
        <x:v>JB standalone DCF equity value</x:v>
      </x:c>
      <x:c r="C40" s="3"/>
      <x:c r="D40" s="28" t="n">
        <x:f>'JB DCF'!D49</x:f>
        <x:v>10622.183158672993</x:v>
      </x:c>
      <x:c r="E40" s="3"/>
      <x:c r="F40" s="3"/>
      <x:c r="G40" s="3"/>
      <x:c r="H40" s="3"/>
      <x:c r="I40" s="2"/>
      <x:c r="J40" s="2"/>
    </x:row>
    <x:row r="41" ht="24" customHeight="1">
      <x:c r="A41" s="2"/>
      <x:c r="B41" s="162" t="str">
        <x:v>Premium to standalone value (crore)</x:v>
      </x:c>
      <x:c r="C41" s="155"/>
      <x:c r="D41" s="155" t="n">
        <x:f>D39-D40</x:f>
        <x:v>15067.209801327004</x:v>
      </x:c>
      <x:c r="E41" s="155"/>
      <x:c r="F41" s="155"/>
      <x:c r="G41" s="155"/>
      <x:c r="H41" s="155"/>
      <x:c r="I41" s="2"/>
      <x:c r="J41" s="2"/>
    </x:row>
    <x:row r="42" ht="24" customHeight="1">
      <x:c r="A42" s="2"/>
      <x:c r="B42" s="2" t="str">
        <x:v>Premium / standalone value</x:v>
      </x:c>
      <x:c r="C42" s="3"/>
      <x:c r="D42" s="29" t="n">
        <x:f>D41/D40</x:f>
        <x:v>1.4184663902189123</x:v>
      </x:c>
      <x:c r="E42" s="3"/>
      <x:c r="F42" s="3"/>
      <x:c r="G42" s="3"/>
      <x:c r="H42" s="3"/>
      <x:c r="I42" s="2"/>
      <x:c r="J42" s="2"/>
    </x:row>
    <x:row r="43" ht="24" customHeight="1">
      <x:c r="A43" s="2"/>
      <x:c r="B43" s="162" t="str">
        <x:v>Premium less net synergy value</x:v>
      </x:c>
      <x:c r="C43" s="155"/>
      <x:c r="D43" s="155" t="n">
        <x:f>D41-D32</x:f>
        <x:v>14502.995472325056</x:v>
      </x:c>
      <x:c r="E43" s="155"/>
      <x:c r="F43" s="155"/>
      <x:c r="G43" s="155"/>
      <x:c r="H43" s="155"/>
      <x:c r="I43" s="2"/>
      <x:c r="J43" s="2"/>
    </x:row>
    <x:row r="44" ht="24" customHeight="1">
      <x:c r="A44" s="2"/>
      <x:c r="B44" s="162" t="str">
        <x:v>Break-even annual synergy incl. fees</x:v>
      </x:c>
      <x:c r="C44" s="155"/>
      <x:c r="D44" s="155" t="n">
        <x:f>MAX((D41+D31+D51)/D33,0)</x:f>
        <x:v>6392.352132570202</x:v>
      </x:c>
      <x:c r="E44" s="155"/>
      <x:c r="F44" s="155"/>
      <x:c r="G44" s="155"/>
      <x:c r="H44" s="155"/>
      <x:c r="I44" s="2"/>
      <x:c r="J44" s="2"/>
    </x:row>
    <x:row r="45" ht="24" customHeight="1">
      <x:c r="A45" s="2"/>
      <x:c r="B45" s="2"/>
      <x:c r="C45" s="3"/>
      <x:c r="D45" s="3"/>
      <x:c r="E45" s="3"/>
      <x:c r="F45" s="3"/>
      <x:c r="G45" s="3"/>
      <x:c r="H45" s="3"/>
      <x:c r="I45" s="2"/>
      <x:c r="J45" s="2"/>
    </x:row>
    <x:row r="46" ht="27" customHeight="1">
      <x:c r="A46" s="2"/>
      <x:c r="B46" s="137" t="str">
        <x:v>VALUE TO EXISTING TORRENT SHAREHOLDERS</x:v>
      </x:c>
      <x:c r="C46" s="141"/>
      <x:c r="D46" s="141"/>
      <x:c r="E46" s="141"/>
      <x:c r="F46" s="141"/>
      <x:c r="G46" s="141"/>
      <x:c r="H46" s="141"/>
      <x:c r="I46" s="2"/>
      <x:c r="J46" s="2"/>
    </x:row>
    <x:row r="47" ht="24" customHeight="1">
      <x:c r="A47" s="2"/>
      <x:c r="B47" s="2" t="str">
        <x:v>Torrent standalone equity value</x:v>
      </x:c>
      <x:c r="C47" s="3"/>
      <x:c r="D47" s="28" t="n">
        <x:f>'Torrent DCF'!D49</x:f>
        <x:v>29593.26114054169</x:v>
      </x:c>
      <x:c r="E47" s="3"/>
      <x:c r="F47" s="3"/>
      <x:c r="G47" s="3"/>
      <x:c r="H47" s="3"/>
      <x:c r="I47" s="2"/>
      <x:c r="J47" s="2"/>
    </x:row>
    <x:row r="48" ht="24" customHeight="1">
      <x:c r="A48" s="2"/>
      <x:c r="B48" s="2" t="str">
        <x:v>JB standalone equity value</x:v>
      </x:c>
      <x:c r="C48" s="3"/>
      <x:c r="D48" s="28" t="n">
        <x:f>'JB DCF'!D49</x:f>
        <x:v>10622.183158672993</x:v>
      </x:c>
      <x:c r="E48" s="3"/>
      <x:c r="F48" s="3"/>
      <x:c r="G48" s="3"/>
      <x:c r="H48" s="3"/>
      <x:c r="I48" s="2"/>
      <x:c r="J48" s="2"/>
    </x:row>
    <x:row r="49" ht="24" customHeight="1">
      <x:c r="A49" s="2"/>
      <x:c r="B49" s="2" t="str">
        <x:v>Add: net synergy value</x:v>
      </x:c>
      <x:c r="C49" s="3"/>
      <x:c r="D49" s="3" t="n">
        <x:f>D32</x:f>
        <x:v>564.2143290019492</x:v>
      </x:c>
      <x:c r="E49" s="3"/>
      <x:c r="F49" s="3"/>
      <x:c r="G49" s="3"/>
      <x:c r="H49" s="3"/>
      <x:c r="I49" s="2"/>
      <x:c r="J49" s="2"/>
    </x:row>
    <x:row r="50" ht="24" customHeight="1">
      <x:c r="A50" s="2"/>
      <x:c r="B50" s="2" t="str">
        <x:v>Less: cash purchase consideration</x:v>
      </x:c>
      <x:c r="C50" s="3"/>
      <x:c r="D50" s="28" t="n">
        <x:f>'Sources and uses'!C29</x:f>
        <x:v>16058.408252176001</x:v>
      </x:c>
      <x:c r="E50" s="3"/>
      <x:c r="F50" s="3"/>
      <x:c r="G50" s="3"/>
      <x:c r="H50" s="3"/>
      <x:c r="I50" s="2"/>
      <x:c r="J50" s="2"/>
    </x:row>
    <x:row r="51" ht="24" customHeight="1">
      <x:c r="A51" s="2"/>
      <x:c r="B51" s="2" t="str">
        <x:v>Less: transaction and financing fees</x:v>
      </x:c>
      <x:c r="C51" s="3"/>
      <x:c r="D51" s="28" t="n">
        <x:f>'Sources and uses'!C30+'Sources and uses'!C31</x:f>
        <x:v>238.25871089155558</x:v>
      </x:c>
      <x:c r="E51" s="3"/>
      <x:c r="F51" s="3"/>
      <x:c r="G51" s="3"/>
      <x:c r="H51" s="3"/>
      <x:c r="I51" s="2"/>
      <x:c r="J51" s="2"/>
    </x:row>
    <x:row r="52" ht="24" customHeight="1">
      <x:c r="A52" s="2"/>
      <x:c r="B52" s="162" t="str">
        <x:v>Combined equity value after cash uses</x:v>
      </x:c>
      <x:c r="C52" s="155"/>
      <x:c r="D52" s="155" t="n">
        <x:f>D47+D48+D49-D50-D51</x:f>
        <x:v>24482.99166514908</x:v>
      </x:c>
      <x:c r="E52" s="155"/>
      <x:c r="F52" s="155"/>
      <x:c r="G52" s="155"/>
      <x:c r="H52" s="155"/>
      <x:c r="I52" s="2"/>
      <x:c r="J52" s="2"/>
    </x:row>
    <x:row r="53" ht="24" customHeight="1">
      <x:c r="A53" s="2"/>
      <x:c r="B53" s="2" t="str">
        <x:v>Pro forma Torrent shares (crore)</x:v>
      </x:c>
      <x:c r="C53" s="3"/>
      <x:c r="D53" s="158" t="n">
        <x:f>'Sources and uses'!C22</x:f>
        <x:v>36.940487423</x:v>
      </x:c>
      <x:c r="E53" s="3"/>
      <x:c r="F53" s="3"/>
      <x:c r="G53" s="3"/>
      <x:c r="H53" s="3"/>
      <x:c r="I53" s="2"/>
      <x:c r="J53" s="2"/>
    </x:row>
    <x:row r="54" ht="24" customHeight="1">
      <x:c r="A54" s="2"/>
      <x:c r="B54" s="162" t="str">
        <x:v>Combined fair value per share (INR)</x:v>
      </x:c>
      <x:c r="C54" s="155"/>
      <x:c r="D54" s="165" t="n">
        <x:f>D52/D53</x:f>
        <x:v>662.7685061325261</x:v>
      </x:c>
      <x:c r="E54" s="155"/>
      <x:c r="F54" s="155"/>
      <x:c r="G54" s="155"/>
      <x:c r="H54" s="155"/>
      <x:c r="I54" s="2"/>
      <x:c r="J54" s="2"/>
    </x:row>
    <x:row r="55" ht="24" customHeight="1">
      <x:c r="A55" s="2"/>
      <x:c r="B55" s="2" t="str">
        <x:v>Existing Torrent shares (crore)</x:v>
      </x:c>
      <x:c r="C55" s="3"/>
      <x:c r="D55" s="158" t="n">
        <x:f>'Sources and uses'!C21</x:f>
        <x:v>33.844544</x:v>
      </x:c>
      <x:c r="E55" s="3"/>
      <x:c r="F55" s="3"/>
      <x:c r="G55" s="3"/>
      <x:c r="H55" s="3"/>
      <x:c r="I55" s="2"/>
      <x:c r="J55" s="2"/>
    </x:row>
    <x:row r="56" ht="24" customHeight="1">
      <x:c r="A56" s="2"/>
      <x:c r="B56" s="2" t="str">
        <x:v>Value attributable to old Torrent holders</x:v>
      </x:c>
      <x:c r="C56" s="3"/>
      <x:c r="D56" s="3" t="n">
        <x:f>D54*D55</x:f>
        <x:v>22431.09786761655</x:v>
      </x:c>
      <x:c r="E56" s="3"/>
      <x:c r="F56" s="3"/>
      <x:c r="G56" s="3"/>
      <x:c r="H56" s="3"/>
      <x:c r="I56" s="2"/>
      <x:c r="J56" s="2"/>
    </x:row>
    <x:row r="57" ht="24" customHeight="1">
      <x:c r="A57" s="2"/>
      <x:c r="B57" s="162" t="str">
        <x:v>Change vs standalone Torrent equity</x:v>
      </x:c>
      <x:c r="C57" s="155"/>
      <x:c r="D57" s="155" t="n">
        <x:f>D56-D47</x:f>
        <x:v>-7162.16327292514</x:v>
      </x:c>
      <x:c r="E57" s="155"/>
      <x:c r="F57" s="155"/>
      <x:c r="G57" s="155"/>
      <x:c r="H57" s="155"/>
      <x:c r="I57" s="2"/>
      <x:c r="J57" s="2"/>
    </x:row>
    <x:row r="58" ht="24" customHeight="1">
      <x:c r="A58" s="2"/>
      <x:c r="B58" s="2" t="str">
        <x:v>Change / standalone Torrent equity</x:v>
      </x:c>
      <x:c r="C58" s="3"/>
      <x:c r="D58" s="29" t="n">
        <x:f>D57/D47</x:f>
        <x:v>-0.24202007473631343</x:v>
      </x:c>
      <x:c r="E58" s="3"/>
      <x:c r="F58" s="3"/>
      <x:c r="G58" s="3"/>
      <x:c r="H58" s="3"/>
      <x:c r="I58" s="2"/>
      <x:c r="J58" s="2"/>
    </x:row>
    <x:row r="59" ht="24" customHeight="1">
      <x:c r="A59" s="2"/>
      <x:c r="B59" s="2" t="str">
        <x:v>New share value at standalone Torrent DCF</x:v>
      </x:c>
      <x:c r="C59" s="3"/>
      <x:c r="D59" s="28" t="n">
        <x:f>'Sources and uses'!C20*'Torrent DCF'!D51</x:f>
        <x:v>2707.0555949337504</x:v>
      </x:c>
      <x:c r="E59" s="3"/>
      <x:c r="F59" s="3"/>
      <x:c r="G59" s="3"/>
      <x:c r="H59" s="3"/>
      <x:c r="I59" s="2"/>
      <x:c r="J59" s="2"/>
    </x:row>
    <x:row r="60" ht="24" customHeight="1">
      <x:c r="A60" s="2"/>
      <x:c r="B60" s="162" t="str">
        <x:v>Mixed consideration at intrinsic reference</x:v>
      </x:c>
      <x:c r="C60" s="155"/>
      <x:c r="D60" s="155" t="n">
        <x:f>D50+D59</x:f>
        <x:v>18765.46384710975</x:v>
      </x:c>
      <x:c r="E60" s="155"/>
      <x:c r="F60" s="155"/>
      <x:c r="G60" s="155"/>
      <x:c r="H60" s="155"/>
      <x:c r="I60" s="2"/>
      <x:c r="J60" s="2"/>
    </x:row>
    <x:row r="61" ht="24" customHeight="1">
      <x:c r="A61" s="2"/>
      <x:c r="B61" s="2" t="str">
        <x:v>Net surplus before allocation to holders</x:v>
      </x:c>
      <x:c r="C61" s="3"/>
      <x:c r="D61" s="3" t="n">
        <x:f>D48+D49-D60-D51</x:f>
        <x:v>-7817.325070326364</x:v>
      </x:c>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t="str">
        <x:v>Synergy PV bridge difference</x:v>
      </x:c>
      <x:c r="C64" s="3"/>
      <x:c r="D64" s="169" t="n">
        <x:f>D32-(SUM(D20:H20)+D29)</x:f>
        <x:v>0</x:v>
      </x:c>
      <x:c r="E64" s="3"/>
      <x:c r="F64" s="3"/>
      <x:c r="G64" s="3"/>
      <x:c r="H64" s="3"/>
      <x:c r="I64" s="2"/>
      <x:c r="J64" s="2"/>
    </x:row>
    <x:row r="65" ht="24" customHeight="1">
      <x:c r="A65" s="2"/>
      <x:c r="B65" s="2" t="str">
        <x:v>Old-holder value bridge difference</x:v>
      </x:c>
      <x:c r="C65" s="3"/>
      <x:c r="D65" s="169" t="n">
        <x:f>D57-D61*D55/D53</x:f>
        <x:v>1.8189894035458565e-12</x:v>
      </x:c>
      <x:c r="E65" s="3"/>
      <x:c r="F65" s="3"/>
      <x:c r="G65" s="3"/>
      <x:c r="H65" s="3"/>
      <x:c r="I65" s="2"/>
      <x:c r="J65" s="2"/>
    </x:row>
    <x:row r="66" ht="24" customHeight="1">
      <x:c r="A66" s="2"/>
      <x:c r="B66" s="2"/>
      <x:c r="C66" s="3"/>
      <x:c r="D66" s="3"/>
      <x:c r="E66" s="3"/>
      <x:c r="F66" s="3"/>
      <x:c r="G66" s="3"/>
      <x:c r="H66" s="3"/>
      <x:c r="I66" s="2"/>
      <x:c r="J66" s="2"/>
    </x:row>
    <x:row r="67" ht="50" customHeight="1">
      <x:c r="A67" s="2"/>
      <x:c r="B67" s="86" t="str">
        <x:v>Synergies are probability-weighted, discounted above JB WACC, and limited to the explicit period plus five flat years through FY35. FY26 savings are prorated; first-year integration costs are paid in full. No revenue synergy or perpetuity is assumed.</x:v>
      </x:c>
      <x:c r="C67" s="103"/>
      <x:c r="D67" s="103"/>
      <x:c r="E67" s="103"/>
      <x:c r="F67" s="103"/>
      <x:c r="G67" s="103"/>
      <x:c r="H67" s="103"/>
      <x:c r="I67" s="2"/>
      <x:c r="J67" s="2"/>
    </x:row>
    <x:row r="68" ht="48" customHeight="1">
      <x:c r="A68" s="2"/>
      <x:c r="B68" s="86" t="str">
        <x:v>The INR 1,600 × expanded-share benchmark compares the announced block price with 100% standalone equity value. It is not the actual mixed cash/share cost. Break-even savings here cover that benchmark premium, integration and selected-case fees.</x:v>
      </x:c>
      <x:c r="C68" s="103"/>
      <x:c r="D68" s="103"/>
      <x:c r="E68" s="103"/>
      <x:c r="F68" s="103"/>
      <x:c r="G68" s="103"/>
      <x:c r="H68" s="103"/>
      <x:c r="I68" s="2"/>
      <x:c r="J68" s="2"/>
    </x:row>
    <x:row r="69" ht="50" customHeight="1">
      <x:c r="A69" s="2"/>
      <x:c r="B69" s="86" t="str">
        <x:v>Existing-holder test: combine both standalone equity values and net synergy value, subtract purchase cash and fees, then divide by post-merger shares. The existing shares’ allocation is compared with Torrent standalone value. Borrowing principal is not subtracted again.</x:v>
      </x:c>
      <x:c r="C69" s="103"/>
      <x:c r="D69" s="103"/>
      <x:c r="E69" s="103"/>
      <x:c r="F69" s="103"/>
      <x:c r="G69" s="103"/>
      <x:c r="H69" s="103"/>
      <x:c r="I69" s="2"/>
      <x:c r="J69" s="2"/>
    </x:row>
    <x:row r="70" ht="48" customHeight="1">
      <x:c r="A70" s="2"/>
      <x:c r="B70" s="86" t="str">
        <x:v>This is an intrinsic-value exchange-ratio test, not a market-valued purchase-price allocation. Financing tax shields are represented only through assumed WACCs; incremental leverage, distress, delayed closing and execution timing require further analysis.</x:v>
      </x:c>
      <x:c r="C70" s="103"/>
      <x:c r="D70" s="103"/>
      <x:c r="E70" s="103"/>
      <x:c r="F70" s="103"/>
      <x:c r="G70" s="103"/>
      <x:c r="H70" s="10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sheetData>
  <x:mergeCells>
    <x:mergeCell ref="B2:H2"/>
    <x:mergeCell ref="B3:H3"/>
    <x:mergeCell ref="B6:H6"/>
    <x:mergeCell ref="B22:H22"/>
    <x:mergeCell ref="B36:H36"/>
    <x:mergeCell ref="B46:H46"/>
    <x:mergeCell ref="B67:H67"/>
    <x:mergeCell ref="B68:H68"/>
    <x:mergeCell ref="B69:H69"/>
    <x:mergeCell ref="B70:H70"/>
  </x:mergeCells>
  <x:pageMargins left="0.7" right="0.7" top="0.75" bottom="0.75" header="0.3" footer="0.3"/>
</x:worksheet>
</file>

<file path=xl/worksheets/sheet20.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s>
  <x:sheetData>
    <x:row r="1" ht="25" customHeight="1">
      <x:c r="A1" s="2"/>
      <x:c r="B1" s="2"/>
      <x:c r="C1" s="2"/>
      <x:c r="D1" s="2"/>
      <x:c r="E1" s="2"/>
      <x:c r="F1" s="2"/>
      <x:c r="G1" s="2"/>
      <x:c r="H1" s="2"/>
      <x:c r="I1" s="2"/>
      <x:c r="J1" s="2"/>
    </x:row>
    <x:row r="2" ht="39" customHeight="1">
      <x:c r="A2" s="2"/>
      <x:c r="B2" s="52" t="str">
        <x:v>JB growth horizon and reverse valuation</x:v>
      </x:c>
      <x:c r="C2" s="52"/>
      <x:c r="D2" s="52"/>
      <x:c r="E2" s="52"/>
      <x:c r="F2" s="52"/>
      <x:c r="G2" s="52"/>
      <x:c r="H2" s="52"/>
      <x:c r="I2" s="2"/>
      <x:c r="J2" s="2"/>
    </x:row>
    <x:row r="3" ht="28" customHeight="1">
      <x:c r="A3" s="2"/>
      <x:c r="B3" s="86" t="str">
        <x:v>29 June 2025 valuation. INR crore, except per-share amounts and ratios.</x:v>
      </x:c>
      <x:c r="C3" s="86"/>
      <x:c r="D3" s="86"/>
      <x:c r="E3" s="86"/>
      <x:c r="F3" s="86"/>
      <x:c r="G3" s="86"/>
      <x:c r="H3" s="86"/>
      <x:c r="I3" s="2"/>
      <x:c r="J3" s="2"/>
    </x:row>
    <x:row r="4" ht="25" customHeight="1">
      <x:c r="A4" s="2"/>
      <x:c r="B4" s="2" t="str">
        <x:v>Operating case</x:v>
      </x:c>
      <x:c r="C4" s="53" t="str">
        <x:f>Assumptions!D4</x:f>
        <x:v>Base</x:v>
      </x:c>
      <x:c r="D4" s="2"/>
      <x:c r="E4" s="2"/>
      <x:c r="F4" s="2" t="str">
        <x:v>Open-offer case</x:v>
      </x:c>
      <x:c r="G4" s="53" t="str">
        <x:f>'Deal inputs'!D4</x:f>
        <x:v>Partial</x:v>
      </x:c>
      <x:c r="H4" s="2"/>
      <x:c r="I4" s="2"/>
      <x:c r="J4" s="2"/>
    </x:row>
    <x:row r="5" ht="25" customHeight="1">
      <x:c r="A5" s="2"/>
      <x:c r="B5" s="2"/>
      <x:c r="C5" s="2" t="str">
        <x:v>FY30E base</x:v>
      </x:c>
      <x:c r="D5" s="2" t="str">
        <x:v>FY31E</x:v>
      </x:c>
      <x:c r="E5" s="2" t="str">
        <x:v>FY32E</x:v>
      </x:c>
      <x:c r="F5" s="2" t="str">
        <x:v>FY33E</x:v>
      </x:c>
      <x:c r="G5" s="2" t="str">
        <x:v>FY34E</x:v>
      </x:c>
      <x:c r="H5" s="2" t="str">
        <x:v>FY35E</x:v>
      </x:c>
      <x:c r="I5" s="2"/>
      <x:c r="J5" s="2"/>
    </x:row>
    <x:row r="6" ht="26" customHeight="1">
      <x:c r="A6" s="2"/>
      <x:c r="B6" s="173" t="str">
        <x:v>FIVE ADDITIONAL YEARS WITH EXPLICIT REINVESTMENT</x:v>
      </x:c>
      <x:c r="C6" s="174"/>
      <x:c r="D6" s="174"/>
      <x:c r="E6" s="174"/>
      <x:c r="F6" s="174"/>
      <x:c r="G6" s="174"/>
      <x:c r="H6" s="174"/>
      <x:c r="I6" s="2"/>
      <x:c r="J6" s="2"/>
    </x:row>
    <x:row r="7" ht="25" customHeight="1">
      <x:c r="A7" s="2"/>
      <x:c r="B7" s="2" t="str">
        <x:v>NOPAT growth</x:v>
      </x:c>
      <x:c r="C7" s="3"/>
      <x:c r="D7" s="76" t="n">
        <x:f>'Valuation inputs'!D75</x:f>
        <x:v>0.1</x:v>
      </x:c>
      <x:c r="E7" s="76" t="n">
        <x:f>'Valuation inputs'!E75</x:f>
        <x:v>0.085</x:v>
      </x:c>
      <x:c r="F7" s="76" t="n">
        <x:f>'Valuation inputs'!F75</x:f>
        <x:v>0.07</x:v>
      </x:c>
      <x:c r="G7" s="76" t="n">
        <x:f>'Valuation inputs'!G75</x:f>
        <x:v>0.055</x:v>
      </x:c>
      <x:c r="H7" s="76" t="n">
        <x:f>'Valuation inputs'!H75</x:f>
        <x:v>0.04</x:v>
      </x:c>
      <x:c r="I7" s="2"/>
      <x:c r="J7" s="2"/>
    </x:row>
    <x:row r="8" ht="25" customHeight="1">
      <x:c r="A8" s="2"/>
      <x:c r="B8" s="2" t="str">
        <x:v>Opening NOPAT</x:v>
      </x:c>
      <x:c r="C8" s="3"/>
      <x:c r="D8" s="3" t="n">
        <x:f>C10</x:f>
        <x:v>1191.3952593975703</x:v>
      </x:c>
      <x:c r="E8" s="3" t="n">
        <x:f>D10</x:f>
        <x:v>1310.5347853373273</x:v>
      </x:c>
      <x:c r="F8" s="3" t="n">
        <x:f>E10</x:f>
        <x:v>1421.930242091</x:v>
      </x:c>
      <x:c r="G8" s="3" t="n">
        <x:f>F10</x:f>
        <x:v>1521.46535903737</x:v>
      </x:c>
      <x:c r="H8" s="3" t="n">
        <x:f>G10</x:f>
        <x:v>1605.1459537844253</x:v>
      </x:c>
      <x:c r="I8" s="2"/>
      <x:c r="J8" s="2"/>
    </x:row>
    <x:row r="9" ht="25" customHeight="1">
      <x:c r="A9" s="2"/>
      <x:c r="B9" s="2" t="str">
        <x:v>Increase in NOPAT</x:v>
      </x:c>
      <x:c r="C9" s="3"/>
      <x:c r="D9" s="3" t="n">
        <x:f>D8*D7</x:f>
        <x:v>119.13952593975704</x:v>
      </x:c>
      <x:c r="E9" s="3" t="n">
        <x:f>E8*E7</x:f>
        <x:v>111.39545675367283</x:v>
      </x:c>
      <x:c r="F9" s="3" t="n">
        <x:f>F8*F7</x:f>
        <x:v>99.53511694637001</x:v>
      </x:c>
      <x:c r="G9" s="3" t="n">
        <x:f>G8*G7</x:f>
        <x:v>83.68059474705535</x:v>
      </x:c>
      <x:c r="H9" s="3" t="n">
        <x:f>H8*H7</x:f>
        <x:v>64.20583815137701</x:v>
      </x:c>
      <x:c r="I9" s="2"/>
      <x:c r="J9" s="2"/>
    </x:row>
    <x:row r="10" ht="25" customHeight="1">
      <x:c r="A10" s="2"/>
      <x:c r="B10" s="195" t="str">
        <x:v>Closing NOPAT</x:v>
      </x:c>
      <x:c r="C10" s="196" t="n">
        <x:f>'JB DCF'!H15</x:f>
        <x:v>1191.3952593975703</x:v>
      </x:c>
      <x:c r="D10" s="197" t="n">
        <x:f>D8+D9</x:f>
        <x:v>1310.5347853373273</x:v>
      </x:c>
      <x:c r="E10" s="197" t="n">
        <x:f>E8+E9</x:f>
        <x:v>1421.930242091</x:v>
      </x:c>
      <x:c r="F10" s="197" t="n">
        <x:f>F8+F9</x:f>
        <x:v>1521.46535903737</x:v>
      </x:c>
      <x:c r="G10" s="197" t="n">
        <x:f>G8+G9</x:f>
        <x:v>1605.1459537844253</x:v>
      </x:c>
      <x:c r="H10" s="197" t="n">
        <x:f>H8+H9</x:f>
        <x:v>1669.3517919358023</x:v>
      </x:c>
      <x:c r="I10" s="2"/>
      <x:c r="J10" s="2"/>
    </x:row>
    <x:row r="11" ht="25" customHeight="1">
      <x:c r="A11" s="2"/>
      <x:c r="B11" s="2" t="str">
        <x:v>Incremental return on capital</x:v>
      </x:c>
      <x:c r="C11" s="3"/>
      <x:c r="D11" s="76" t="n">
        <x:f>'Valuation inputs'!$D$76</x:f>
        <x:v>0.2</x:v>
      </x:c>
      <x:c r="E11" s="76" t="n">
        <x:f>'Valuation inputs'!$D$76</x:f>
        <x:v>0.2</x:v>
      </x:c>
      <x:c r="F11" s="76" t="n">
        <x:f>'Valuation inputs'!$D$76</x:f>
        <x:v>0.2</x:v>
      </x:c>
      <x:c r="G11" s="76" t="n">
        <x:f>'Valuation inputs'!$D$76</x:f>
        <x:v>0.2</x:v>
      </x:c>
      <x:c r="H11" s="76" t="n">
        <x:f>'Valuation inputs'!$D$76</x:f>
        <x:v>0.2</x:v>
      </x:c>
      <x:c r="I11" s="2"/>
      <x:c r="J11" s="2"/>
    </x:row>
    <x:row r="12" ht="25" customHeight="1">
      <x:c r="A12" s="2"/>
      <x:c r="B12" s="2" t="str">
        <x:v>Net reinvestment</x:v>
      </x:c>
      <x:c r="C12" s="3"/>
      <x:c r="D12" s="3" t="n">
        <x:f>IF(D11&gt;0,D9/D11,NA())</x:f>
        <x:v>595.6976296987851</x:v>
      </x:c>
      <x:c r="E12" s="3" t="n">
        <x:f>IF(E11&gt;0,E9/E11,NA())</x:f>
        <x:v>556.9772837683641</x:v>
      </x:c>
      <x:c r="F12" s="3" t="n">
        <x:f>IF(F11&gt;0,F9/F11,NA())</x:f>
        <x:v>497.67558473185005</x:v>
      </x:c>
      <x:c r="G12" s="3" t="n">
        <x:f>IF(G11&gt;0,G9/G11,NA())</x:f>
        <x:v>418.40297373527676</x:v>
      </x:c>
      <x:c r="H12" s="3" t="n">
        <x:f>IF(H11&gt;0,H9/H11,NA())</x:f>
        <x:v>321.02919075688504</x:v>
      </x:c>
      <x:c r="I12" s="2"/>
      <x:c r="J12" s="2"/>
    </x:row>
    <x:row r="13" ht="25" customHeight="1">
      <x:c r="A13" s="2"/>
      <x:c r="B13" s="195" t="str">
        <x:v>Free cash flow</x:v>
      </x:c>
      <x:c r="C13" s="197"/>
      <x:c r="D13" s="197" t="n">
        <x:f>D10-D12</x:f>
        <x:v>714.8371556385422</x:v>
      </x:c>
      <x:c r="E13" s="197" t="n">
        <x:f>E10-E12</x:f>
        <x:v>864.9529583226359</x:v>
      </x:c>
      <x:c r="F13" s="197" t="n">
        <x:f>F10-F12</x:f>
        <x:v>1023.78977430552</x:v>
      </x:c>
      <x:c r="G13" s="197" t="n">
        <x:f>G10-G12</x:f>
        <x:v>1186.7429800491486</x:v>
      </x:c>
      <x:c r="H13" s="197" t="n">
        <x:f>H10-H12</x:f>
        <x:v>1348.3226011789172</x:v>
      </x:c>
      <x:c r="I13" s="2"/>
      <x:c r="J13" s="2"/>
    </x:row>
    <x:row r="14" ht="25" customHeight="1">
      <x:c r="A14" s="2"/>
      <x:c r="B14" s="2" t="str">
        <x:v>Years from valuation date</x:v>
      </x:c>
      <x:c r="C14" s="3"/>
      <x:c r="D14" s="158" t="n">
        <x:f>'JB DCF'!H23+1</x:f>
        <x:v>5.7534246575342465</x:v>
      </x:c>
      <x:c r="E14" s="159" t="n">
        <x:f>D14+1</x:f>
        <x:v>6.7534246575342465</x:v>
      </x:c>
      <x:c r="F14" s="159" t="n">
        <x:f>E14+1</x:f>
        <x:v>7.7534246575342465</x:v>
      </x:c>
      <x:c r="G14" s="159" t="n">
        <x:f>F14+1</x:f>
        <x:v>8.753424657534246</x:v>
      </x:c>
      <x:c r="H14" s="159" t="n">
        <x:f>G14+1</x:f>
        <x:v>9.753424657534246</x:v>
      </x:c>
      <x:c r="I14" s="2"/>
      <x:c r="J14" s="2"/>
    </x:row>
    <x:row r="15" ht="25" customHeight="1">
      <x:c r="A15" s="2"/>
      <x:c r="B15" s="2" t="str">
        <x:v>Discount factor</x:v>
      </x:c>
      <x:c r="C15" s="3"/>
      <x:c r="D15" s="29" t="n">
        <x:f>1/(1+$D$19)^D14</x:f>
        <x:v>0.5330270319504583</x:v>
      </x:c>
      <x:c r="E15" s="29" t="n">
        <x:f>1/(1+$D$19)^E14</x:f>
        <x:v>0.4778104556818679</x:v>
      </x:c>
      <x:c r="F15" s="29" t="n">
        <x:f>1/(1+$D$19)^F14</x:f>
        <x:v>0.4283137962506444</x:v>
      </x:c>
      <x:c r="G15" s="29" t="n">
        <x:f>1/(1+$D$19)^G14</x:f>
        <x:v>0.383944524187607</x:v>
      </x:c>
      <x:c r="H15" s="29" t="n">
        <x:f>1/(1+$D$19)^H14</x:f>
        <x:v>0.3441714904914791</x:v>
      </x:c>
      <x:c r="I15" s="2"/>
      <x:c r="J15" s="2"/>
    </x:row>
    <x:row r="16" ht="25" customHeight="1">
      <x:c r="A16" s="2"/>
      <x:c r="B16" s="195" t="str">
        <x:v>Present value of cash flow</x:v>
      </x:c>
      <x:c r="C16" s="197"/>
      <x:c r="D16" s="197" t="n">
        <x:f>D13*D15</x:f>
        <x:v>381.02752739792</x:v>
      </x:c>
      <x:c r="E16" s="197" t="n">
        <x:f>E13*E15</x:f>
        <x:v>413.2835671595184</x:v>
      </x:c>
      <x:c r="F16" s="197" t="n">
        <x:f>F13*F15</x:f>
        <x:v>438.50328479538774</x:v>
      </x:c>
      <x:c r="G16" s="197" t="n">
        <x:f>G13*G15</x:f>
        <x:v>455.6434688079531</x:v>
      </x:c>
      <x:c r="H16" s="197" t="n">
        <x:f>H13*H15</x:f>
        <x:v>464.0541993110961</x:v>
      </x:c>
      <x:c r="I16" s="2"/>
      <x:c r="J16" s="2"/>
    </x:row>
    <x:row r="17" ht="25" customHeight="1">
      <x:c r="A17" s="2"/>
      <x:c r="B17" s="2"/>
      <x:c r="C17" s="3"/>
      <x:c r="D17" s="3"/>
      <x:c r="E17" s="3"/>
      <x:c r="F17" s="3"/>
      <x:c r="G17" s="3"/>
      <x:c r="H17" s="3"/>
      <x:c r="I17" s="2"/>
      <x:c r="J17" s="2"/>
    </x:row>
    <x:row r="18" ht="26" customHeight="1">
      <x:c r="A18" s="2"/>
      <x:c r="B18" s="173" t="str">
        <x:v>EXTENDED DCF VALUE</x:v>
      </x:c>
      <x:c r="C18" s="174"/>
      <x:c r="D18" s="174"/>
      <x:c r="E18" s="174"/>
      <x:c r="F18" s="174"/>
      <x:c r="G18" s="174"/>
      <x:c r="H18" s="174"/>
      <x:c r="I18" s="2"/>
      <x:c r="J18" s="2"/>
    </x:row>
    <x:row r="19" ht="25" customHeight="1">
      <x:c r="A19" s="2"/>
      <x:c r="B19" s="2" t="str">
        <x:v>Selected WACC</x:v>
      </x:c>
      <x:c r="C19" s="3"/>
      <x:c r="D19" s="188" t="n">
        <x:f>'JB DCF'!D28</x:f>
        <x:v>0.11556167432500525</x:v>
      </x:c>
      <x:c r="E19" s="3"/>
      <x:c r="F19" s="3"/>
      <x:c r="G19" s="3"/>
      <x:c r="H19" s="3"/>
      <x:c r="I19" s="2"/>
      <x:c r="J19" s="2"/>
    </x:row>
    <x:row r="20" ht="25" customHeight="1">
      <x:c r="A20" s="2"/>
      <x:c r="B20" s="2" t="str">
        <x:v>Terminal growth after FY35</x:v>
      </x:c>
      <x:c r="C20" s="3"/>
      <x:c r="D20" s="76" t="n">
        <x:f>'JB DCF'!D29</x:f>
        <x:v>0.04</x:v>
      </x:c>
      <x:c r="E20" s="3"/>
      <x:c r="F20" s="3"/>
      <x:c r="G20" s="3"/>
      <x:c r="H20" s="3"/>
      <x:c r="I20" s="2"/>
      <x:c r="J20" s="2"/>
    </x:row>
    <x:row r="21" ht="25" customHeight="1">
      <x:c r="A21" s="2"/>
      <x:c r="B21" s="2" t="str">
        <x:v>Terminal return on capital</x:v>
      </x:c>
      <x:c r="C21" s="3"/>
      <x:c r="D21" s="76" t="n">
        <x:f>'JB DCF'!D30</x:f>
        <x:v>0.15</x:v>
      </x:c>
      <x:c r="E21" s="3"/>
      <x:c r="F21" s="3"/>
      <x:c r="G21" s="3"/>
      <x:c r="H21" s="3"/>
      <x:c r="I21" s="2"/>
      <x:c r="J21" s="2"/>
    </x:row>
    <x:row r="22" ht="25" customHeight="1">
      <x:c r="A22" s="2"/>
      <x:c r="B22" s="2" t="str">
        <x:v>FY36 normalised NOPAT</x:v>
      </x:c>
      <x:c r="C22" s="3"/>
      <x:c r="D22" s="3" t="n">
        <x:f>H10*(1+D20)</x:f>
        <x:v>1736.1258636132345</x:v>
      </x:c>
      <x:c r="E22" s="3"/>
      <x:c r="F22" s="3"/>
      <x:c r="G22" s="3"/>
      <x:c r="H22" s="3"/>
      <x:c r="I22" s="2"/>
      <x:c r="J22" s="2"/>
    </x:row>
    <x:row r="23" ht="25" customHeight="1">
      <x:c r="A23" s="2"/>
      <x:c r="B23" s="2" t="str">
        <x:v>FY36 terminal free cash flow</x:v>
      </x:c>
      <x:c r="C23" s="3"/>
      <x:c r="D23" s="3" t="n">
        <x:f>IF(D21&gt;D20,D22*(1-D20/D21),NA())</x:f>
        <x:v>1273.1589666497055</x:v>
      </x:c>
      <x:c r="E23" s="3"/>
      <x:c r="F23" s="3"/>
      <x:c r="G23" s="3"/>
      <x:c r="H23" s="3"/>
      <x:c r="I23" s="2"/>
      <x:c r="J23" s="2"/>
    </x:row>
    <x:row r="24" ht="25" customHeight="1">
      <x:c r="A24" s="2"/>
      <x:c r="B24" s="2" t="str">
        <x:v>Terminal enterprise value at FY35</x:v>
      </x:c>
      <x:c r="C24" s="3"/>
      <x:c r="D24" s="3" t="n">
        <x:f>IF(D19&gt;D20,D23/(D19-D20),NA())</x:f>
        <x:v>16849.268865769238</x:v>
      </x:c>
      <x:c r="E24" s="3"/>
      <x:c r="F24" s="3"/>
      <x:c r="G24" s="3"/>
      <x:c r="H24" s="3"/>
      <x:c r="I24" s="2"/>
      <x:c r="J24" s="2"/>
    </x:row>
    <x:row r="25" ht="25" customHeight="1">
      <x:c r="A25" s="2"/>
      <x:c r="B25" s="2" t="str">
        <x:v>Present value of terminal value</x:v>
      </x:c>
      <x:c r="C25" s="3"/>
      <x:c r="D25" s="3" t="n">
        <x:f>D24*H15</x:f>
        <x:v>5799.037979223473</x:v>
      </x:c>
      <x:c r="E25" s="3"/>
      <x:c r="F25" s="3"/>
      <x:c r="G25" s="3"/>
      <x:c r="H25" s="3"/>
      <x:c r="I25" s="2"/>
      <x:c r="J25" s="2"/>
    </x:row>
    <x:row r="26" ht="25" customHeight="1">
      <x:c r="A26" s="2"/>
      <x:c r="B26" s="2" t="str">
        <x:v>FY26–FY30 present value of FCF</x:v>
      </x:c>
      <x:c r="C26" s="3"/>
      <x:c r="D26" s="28" t="n">
        <x:f>'JB DCF'!D37</x:f>
        <x:v>3103.362053827458</x:v>
      </x:c>
      <x:c r="E26" s="3"/>
      <x:c r="F26" s="3"/>
      <x:c r="G26" s="3"/>
      <x:c r="H26" s="3"/>
      <x:c r="I26" s="2"/>
      <x:c r="J26" s="2"/>
    </x:row>
    <x:row r="27" ht="25" customHeight="1">
      <x:c r="A27" s="2"/>
      <x:c r="B27" s="2" t="str">
        <x:v>FY31–FY35 present value of FCF</x:v>
      </x:c>
      <x:c r="C27" s="3"/>
      <x:c r="D27" s="3" t="n">
        <x:f>SUM(D16:H16)</x:f>
        <x:v>2152.512047471875</x:v>
      </x:c>
      <x:c r="E27" s="3"/>
      <x:c r="F27" s="3"/>
      <x:c r="G27" s="3"/>
      <x:c r="H27" s="3"/>
      <x:c r="I27" s="2"/>
      <x:c r="J27" s="2"/>
    </x:row>
    <x:row r="28" ht="25" customHeight="1">
      <x:c r="A28" s="2"/>
      <x:c r="B28" s="195" t="str">
        <x:v>Extended enterprise value</x:v>
      </x:c>
      <x:c r="C28" s="197"/>
      <x:c r="D28" s="197" t="n">
        <x:f>SUM(D25:D27)</x:f>
        <x:v>11054.912080522805</x:v>
      </x:c>
      <x:c r="E28" s="197"/>
      <x:c r="F28" s="197"/>
      <x:c r="G28" s="197"/>
      <x:c r="H28" s="197"/>
      <x:c r="I28" s="2"/>
      <x:c r="J28" s="2"/>
    </x:row>
    <x:row r="29" ht="25" customHeight="1">
      <x:c r="A29" s="2"/>
      <x:c r="B29" s="2" t="str">
        <x:v>Net equity-bridge adjustments</x:v>
      </x:c>
      <x:c r="C29" s="3"/>
      <x:c r="D29" s="28" t="n">
        <x:f>'JB DCF'!D49-'JB DCF'!D38</x:f>
        <x:v>368.39570000000094</x:v>
      </x:c>
      <x:c r="E29" s="3"/>
      <x:c r="F29" s="3"/>
      <x:c r="G29" s="3"/>
      <x:c r="H29" s="3"/>
      <x:c r="I29" s="2"/>
      <x:c r="J29" s="2"/>
    </x:row>
    <x:row r="30" ht="25" customHeight="1">
      <x:c r="A30" s="2"/>
      <x:c r="B30" s="195" t="str">
        <x:v>Extended equity value</x:v>
      </x:c>
      <x:c r="C30" s="197"/>
      <x:c r="D30" s="197" t="n">
        <x:f>D28+D29</x:f>
        <x:v>11423.307780522806</x:v>
      </x:c>
      <x:c r="E30" s="197"/>
      <x:c r="F30" s="197"/>
      <x:c r="G30" s="197"/>
      <x:c r="H30" s="197"/>
      <x:c r="I30" s="2"/>
      <x:c r="J30" s="2"/>
    </x:row>
    <x:row r="31" ht="25" customHeight="1">
      <x:c r="A31" s="2"/>
      <x:c r="B31" s="195" t="str">
        <x:v>Extended value per share (INR)</x:v>
      </x:c>
      <x:c r="C31" s="197"/>
      <x:c r="D31" s="200" t="n">
        <x:f>D30/'JB DCF'!D50</x:f>
        <x:v>711.4723371352287</x:v>
      </x:c>
      <x:c r="E31" s="197"/>
      <x:c r="F31" s="197"/>
      <x:c r="G31" s="197"/>
      <x:c r="H31" s="197"/>
      <x:c r="I31" s="2"/>
      <x:c r="J31" s="2"/>
    </x:row>
    <x:row r="32" ht="25" customHeight="1">
      <x:c r="A32" s="2"/>
      <x:c r="B32" s="2" t="str">
        <x:v>Change vs five-year DCF (INR / share)</x:v>
      </x:c>
      <x:c r="C32" s="3"/>
      <x:c r="D32" s="170" t="n">
        <x:f>D31-'JB DCF'!D51</x:f>
        <x:v>49.89605620325642</x:v>
      </x:c>
      <x:c r="E32" s="3"/>
      <x:c r="F32" s="3"/>
      <x:c r="G32" s="3"/>
      <x:c r="H32" s="3"/>
      <x:c r="I32" s="2"/>
      <x:c r="J32" s="2"/>
    </x:row>
    <x:row r="33" ht="25" customHeight="1">
      <x:c r="A33" s="2"/>
      <x:c r="B33" s="2" t="str">
        <x:v>Terminal value / enterprise value</x:v>
      </x:c>
      <x:c r="C33" s="3"/>
      <x:c r="D33" s="29" t="n">
        <x:f>D25/D28</x:f>
        <x:v>0.5245666303796807</x:v>
      </x:c>
      <x:c r="E33" s="3"/>
      <x:c r="F33" s="3"/>
      <x:c r="G33" s="3"/>
      <x:c r="H33" s="3"/>
      <x:c r="I33" s="2"/>
      <x:c r="J33" s="2"/>
    </x:row>
    <x:row r="34" ht="25" customHeight="1">
      <x:c r="A34" s="2"/>
      <x:c r="B34" s="2"/>
      <x:c r="C34" s="3"/>
      <x:c r="D34" s="3"/>
      <x:c r="E34" s="3"/>
      <x:c r="F34" s="3"/>
      <x:c r="G34" s="3"/>
      <x:c r="H34" s="3"/>
      <x:c r="I34" s="2"/>
      <x:c r="J34" s="2"/>
    </x:row>
    <x:row r="35" ht="25" customHeight="1">
      <x:c r="A35" s="2"/>
      <x:c r="B35" s="2"/>
      <x:c r="C35" s="3"/>
      <x:c r="D35" s="3"/>
      <x:c r="E35" s="3"/>
      <x:c r="F35" s="3"/>
      <x:c r="G35" s="3"/>
      <x:c r="H35" s="3"/>
      <x:c r="I35" s="2"/>
      <x:c r="J35" s="2"/>
    </x:row>
    <x:row r="36" ht="26" customHeight="1">
      <x:c r="A36" s="2"/>
      <x:c r="B36" s="173" t="str">
        <x:v>REVERSE TEST — OPERATING PROFIT REQUIRED AT INR 1,600</x:v>
      </x:c>
      <x:c r="C36" s="174"/>
      <x:c r="D36" s="174"/>
      <x:c r="E36" s="174"/>
      <x:c r="F36" s="174"/>
      <x:c r="G36" s="174"/>
      <x:c r="H36" s="174"/>
      <x:c r="I36" s="2"/>
      <x:c r="J36" s="2"/>
    </x:row>
    <x:row r="37" ht="25" customHeight="1">
      <x:c r="A37" s="2"/>
      <x:c r="B37" s="2" t="str">
        <x:v>Price benchmark (INR / share)</x:v>
      </x:c>
      <x:c r="C37" s="3"/>
      <x:c r="D37" s="170" t="n">
        <x:f>'Deal inputs'!C16</x:f>
        <x:v>1600</x:v>
      </x:c>
      <x:c r="E37" s="3"/>
      <x:c r="F37" s="3"/>
      <x:c r="G37" s="3"/>
      <x:c r="H37" s="3"/>
      <x:c r="I37" s="2"/>
      <x:c r="J37" s="2"/>
    </x:row>
    <x:row r="38" ht="25" customHeight="1">
      <x:c r="A38" s="2"/>
      <x:c r="B38" s="2" t="str">
        <x:v>Equity value required at price</x:v>
      </x:c>
      <x:c r="C38" s="3"/>
      <x:c r="D38" s="28" t="n">
        <x:f>D37*'JB DCF'!D50</x:f>
        <x:v>25689.392959999997</x:v>
      </x:c>
      <x:c r="E38" s="3"/>
      <x:c r="F38" s="3"/>
      <x:c r="G38" s="3"/>
      <x:c r="H38" s="3"/>
      <x:c r="I38" s="2"/>
      <x:c r="J38" s="2"/>
    </x:row>
    <x:row r="39" ht="25" customHeight="1">
      <x:c r="A39" s="2"/>
      <x:c r="B39" s="2" t="str">
        <x:v>Enterprise value required</x:v>
      </x:c>
      <x:c r="C39" s="3"/>
      <x:c r="D39" s="3" t="n">
        <x:f>D38-D29</x:f>
        <x:v>25320.997259999996</x:v>
      </x:c>
      <x:c r="E39" s="3"/>
      <x:c r="F39" s="3"/>
      <x:c r="G39" s="3"/>
      <x:c r="H39" s="3"/>
      <x:c r="I39" s="2"/>
      <x:c r="J39" s="2"/>
    </x:row>
    <x:row r="40" ht="25" customHeight="1">
      <x:c r="A40" s="2"/>
      <x:c r="B40" s="2" t="str">
        <x:v>Required PV of cash flows after FY30</x:v>
      </x:c>
      <x:c r="C40" s="3"/>
      <x:c r="D40" s="3" t="n">
        <x:f>D39-D26</x:f>
        <x:v>22217.635206172537</x:v>
      </x:c>
      <x:c r="E40" s="3"/>
      <x:c r="F40" s="3"/>
      <x:c r="G40" s="3"/>
      <x:c r="H40" s="3"/>
      <x:c r="I40" s="2"/>
      <x:c r="J40" s="2"/>
    </x:row>
    <x:row r="41" ht="25" customHeight="1">
      <x:c r="A41" s="2"/>
      <x:c r="B41" s="2" t="str">
        <x:v>Tail PV per INR 1 of FY30 NOPAT</x:v>
      </x:c>
      <x:c r="C41" s="3"/>
      <x:c r="D41" s="169" t="n">
        <x:f>(D25+D27)/C10</x:f>
        <x:v>6.674149459614313</x:v>
      </x:c>
      <x:c r="E41" s="3"/>
      <x:c r="F41" s="3"/>
      <x:c r="G41" s="3"/>
      <x:c r="H41" s="3"/>
      <x:c r="I41" s="2"/>
      <x:c r="J41" s="2"/>
    </x:row>
    <x:row r="42" ht="25" customHeight="1">
      <x:c r="A42" s="2"/>
      <x:c r="B42" s="195" t="str">
        <x:v>FY30 NOPAT required</x:v>
      </x:c>
      <x:c r="C42" s="197"/>
      <x:c r="D42" s="203" t="n">
        <x:f>D40/D41</x:f>
        <x:v>3328.9088505753143</x:v>
      </x:c>
      <x:c r="E42" s="197"/>
      <x:c r="F42" s="197"/>
      <x:c r="G42" s="197"/>
      <x:c r="H42" s="197"/>
      <x:c r="I42" s="2"/>
      <x:c r="J42" s="2"/>
    </x:row>
    <x:row r="43" ht="25" customHeight="1">
      <x:c r="A43" s="2"/>
      <x:c r="B43" s="2" t="str">
        <x:v>Required / modelled FY30 NOPAT</x:v>
      </x:c>
      <x:c r="C43" s="3"/>
      <x:c r="D43" s="169" t="n">
        <x:f>D42/C10</x:f>
        <x:v>2.79412631896704</x:v>
      </x:c>
      <x:c r="E43" s="3"/>
      <x:c r="F43" s="3"/>
      <x:c r="G43" s="3"/>
      <x:c r="H43" s="3"/>
      <x:c r="I43" s="2"/>
      <x:c r="J43" s="2"/>
    </x:row>
    <x:row r="44" ht="25" customHeight="1">
      <x:c r="A44" s="2"/>
      <x:c r="B44" s="2" t="str">
        <x:v>Required FY30 operating EBIT</x:v>
      </x:c>
      <x:c r="C44" s="3"/>
      <x:c r="D44" s="28" t="n">
        <x:f>D42/(1-'JB DCF'!H14)</x:f>
        <x:v>4498.525473750425</x:v>
      </x:c>
      <x:c r="E44" s="3"/>
      <x:c r="F44" s="3"/>
      <x:c r="G44" s="3"/>
      <x:c r="H44" s="3"/>
      <x:c r="I44" s="2"/>
      <x:c r="J44" s="2"/>
    </x:row>
    <x:row r="45" ht="25" customHeight="1">
      <x:c r="A45" s="2"/>
      <x:c r="B45" s="2" t="str">
        <x:v>Modelled FY30 revenue held fixed</x:v>
      </x:c>
      <x:c r="C45" s="3"/>
      <x:c r="D45" s="28" t="n">
        <x:f>'JB DCF'!H7</x:f>
        <x:v>6450.743427029789</x:v>
      </x:c>
      <x:c r="E45" s="3"/>
      <x:c r="F45" s="3"/>
      <x:c r="G45" s="3"/>
      <x:c r="H45" s="3"/>
      <x:c r="I45" s="2"/>
      <x:c r="J45" s="2"/>
    </x:row>
    <x:row r="46" ht="25" customHeight="1">
      <x:c r="A46" s="2"/>
      <x:c r="B46" s="195" t="str">
        <x:v>Required FY30 operating EBIT margin</x:v>
      </x:c>
      <x:c r="C46" s="197"/>
      <x:c r="D46" s="206" t="n">
        <x:f>D44/D45</x:f>
        <x:v>0.6973654315409266</x:v>
      </x:c>
      <x:c r="E46" s="197"/>
      <x:c r="F46" s="197"/>
      <x:c r="G46" s="197"/>
      <x:c r="H46" s="197"/>
      <x:c r="I46" s="2"/>
      <x:c r="J46" s="2"/>
    </x:row>
    <x:row r="47" ht="25" customHeight="1">
      <x:c r="A47" s="2"/>
      <x:c r="B47" s="2" t="str">
        <x:v>Modelled FY30 operating EBIT margin</x:v>
      </x:c>
      <x:c r="C47" s="3"/>
      <x:c r="D47" s="76" t="n">
        <x:f>'JB DCF'!H13/'JB DCF'!H7</x:f>
        <x:v>0.24958264299186578</x:v>
      </x:c>
      <x:c r="E47" s="3"/>
      <x:c r="F47" s="3"/>
      <x:c r="G47" s="3"/>
      <x:c r="H47" s="3"/>
      <x:c r="I47" s="2"/>
      <x:c r="J47" s="2"/>
    </x:row>
    <x:row r="48" ht="25" customHeight="1">
      <x:c r="A48" s="2"/>
      <x:c r="B48" s="2"/>
      <x:c r="C48" s="3"/>
      <x:c r="D48" s="3"/>
      <x:c r="E48" s="3"/>
      <x:c r="F48" s="3"/>
      <x:c r="G48" s="3"/>
      <x:c r="H48" s="3"/>
      <x:c r="I48" s="2"/>
      <x:c r="J48" s="2"/>
    </x:row>
    <x:row r="49" ht="54" customHeight="1">
      <x:c r="A49" s="2"/>
      <x:c r="B49" s="86" t="str">
        <x:v>Reverse test holds FY26–FY30 cash flows and FY30 revenue fixed. It solves the FY30 NOPAT needed to support the later cash flows and terminal value under the selected growth / ROIC path. The required margin is a diagnostic, not a fully consistent alternate forecast.</x:v>
      </x:c>
      <x:c r="C49" s="103"/>
      <x:c r="D49" s="103"/>
      <x:c r="E49" s="103"/>
      <x:c r="F49" s="103"/>
      <x:c r="G49" s="103"/>
      <x:c r="H49" s="103"/>
      <x:c r="I49" s="2"/>
      <x:c r="J49" s="2"/>
    </x:row>
    <x:row r="50" ht="50" customHeight="1">
      <x:c r="A50" s="2"/>
      <x:c r="B50" s="86" t="str">
        <x:v>The growth extension is a separate horizon sensitivity. DCF summary retains the five-year valuation as its main result. Changing the operating case updates the FY30 starting point; extension growth and ROIC remain common, editable estimates.</x:v>
      </x:c>
      <x:c r="C50" s="103"/>
      <x:c r="D50" s="103"/>
      <x:c r="E50" s="103"/>
      <x:c r="F50" s="103"/>
      <x:c r="G50" s="103"/>
      <x:c r="H50" s="103"/>
      <x:c r="I50" s="2"/>
      <x:c r="J50" s="2"/>
    </x:row>
    <x:row r="51" ht="46" customHeight="1">
      <x:c r="A51" s="2"/>
      <x:c r="B51" s="86" t="str">
        <x:v>Net reinvestment replaces separate D&amp;A, capex and working-capital schedules after FY30. It is based on incremental NOPAT / incremental ROIC. No synergy, debt interest or ESOP add-back enters this standalone test.</x:v>
      </x:c>
      <x:c r="C51" s="103"/>
      <x:c r="D51" s="103"/>
      <x:c r="E51" s="103"/>
      <x:c r="F51" s="103"/>
      <x:c r="G51" s="103"/>
      <x:c r="H51" s="103"/>
      <x:c r="I51" s="2"/>
      <x:c r="J51" s="2"/>
    </x:row>
    <x:row r="52" ht="25" customHeight="1">
      <x:c r="A52" s="2"/>
      <x:c r="B52" s="2"/>
      <x:c r="C52" s="3"/>
      <x:c r="D52" s="3"/>
      <x:c r="E52" s="3"/>
      <x:c r="F52" s="3"/>
      <x:c r="G52" s="3"/>
      <x:c r="H52" s="3"/>
      <x:c r="I52" s="2"/>
      <x:c r="J52" s="2"/>
    </x:row>
    <x:row r="53" ht="25" customHeight="1">
      <x:c r="A53" s="2"/>
      <x:c r="B53" s="2"/>
      <x:c r="C53" s="3"/>
      <x:c r="D53" s="3"/>
      <x:c r="E53" s="3"/>
      <x:c r="F53" s="3"/>
      <x:c r="G53" s="3"/>
      <x:c r="H53" s="3"/>
      <x:c r="I53" s="2"/>
      <x:c r="J53" s="2"/>
    </x:row>
    <x:row r="54" ht="26" customHeight="1">
      <x:c r="A54" s="2"/>
      <x:c r="B54" s="173" t="str">
        <x:v>RECONCILIATIONS</x:v>
      </x:c>
      <x:c r="C54" s="174"/>
      <x:c r="D54" s="174"/>
      <x:c r="E54" s="174"/>
      <x:c r="F54" s="174"/>
      <x:c r="G54" s="174"/>
      <x:c r="H54" s="174"/>
      <x:c r="I54" s="2"/>
      <x:c r="J54" s="2"/>
    </x:row>
    <x:row r="55" ht="25" customHeight="1">
      <x:c r="A55" s="2"/>
      <x:c r="B55" s="2" t="str">
        <x:v>Extended equity bridge difference</x:v>
      </x:c>
      <x:c r="C55" s="3"/>
      <x:c r="D55" s="169" t="n">
        <x:f>D30-(D25+D26+D27+D29)</x:f>
        <x:v>0</x:v>
      </x:c>
      <x:c r="E55" s="3"/>
      <x:c r="F55" s="3"/>
      <x:c r="G55" s="3"/>
      <x:c r="H55" s="3"/>
      <x:c r="I55" s="2"/>
      <x:c r="J55" s="2"/>
    </x:row>
    <x:row r="56" ht="25" customHeight="1">
      <x:c r="A56" s="2"/>
      <x:c r="B56" s="2" t="str">
        <x:v>Reverse target equity difference</x:v>
      </x:c>
      <x:c r="C56" s="3"/>
      <x:c r="D56" s="169" t="n">
        <x:f>D26+D42*D41+D29-D38</x:f>
        <x:v>0</x:v>
      </x:c>
      <x:c r="E56" s="3"/>
      <x:c r="F56" s="3"/>
      <x:c r="G56" s="3"/>
      <x:c r="H56" s="3"/>
      <x:c r="I56" s="2"/>
      <x:c r="J56" s="2"/>
    </x:row>
    <x:row r="57" ht="25" customHeight="1">
      <x:c r="A57" s="2"/>
      <x:c r="B57" s="2"/>
      <x:c r="C57" s="3"/>
      <x:c r="D57" s="3"/>
      <x:c r="E57" s="3"/>
      <x:c r="F57" s="3"/>
      <x:c r="G57" s="3"/>
      <x:c r="H57" s="3"/>
      <x:c r="I57" s="2"/>
      <x:c r="J57" s="2"/>
    </x:row>
    <x:row r="58" ht="25" customHeight="1">
      <x:c r="A58" s="2"/>
      <x:c r="B58" s="2"/>
      <x:c r="C58" s="3"/>
      <x:c r="D58" s="3"/>
      <x:c r="E58" s="3"/>
      <x:c r="F58" s="3"/>
      <x:c r="G58" s="3"/>
      <x:c r="H58" s="3"/>
      <x:c r="I58" s="2"/>
      <x:c r="J58" s="2"/>
    </x:row>
    <x:row r="59" ht="25" customHeight="1">
      <x:c r="A59" s="2"/>
      <x:c r="B59" s="2"/>
      <x:c r="C59" s="3"/>
      <x:c r="D59" s="3"/>
      <x:c r="E59" s="3"/>
      <x:c r="F59" s="3"/>
      <x:c r="G59" s="3"/>
      <x:c r="H59" s="3"/>
      <x:c r="I59" s="2"/>
      <x:c r="J59" s="2"/>
    </x:row>
    <x:row r="60" ht="25" customHeight="1">
      <x:c r="A60" s="2"/>
      <x:c r="B60" s="2"/>
      <x:c r="C60" s="3"/>
      <x:c r="D60" s="3"/>
      <x:c r="E60" s="3"/>
      <x:c r="F60" s="3"/>
      <x:c r="G60" s="3"/>
      <x:c r="H60" s="3"/>
      <x:c r="I60" s="2"/>
      <x:c r="J60" s="2"/>
    </x:row>
    <x:row r="61" ht="25" customHeight="1">
      <x:c r="A61" s="2"/>
      <x:c r="B61" s="2"/>
      <x:c r="C61" s="3"/>
      <x:c r="D61" s="3"/>
      <x:c r="E61" s="3"/>
      <x:c r="F61" s="3"/>
      <x:c r="G61" s="3"/>
      <x:c r="H61" s="3"/>
      <x:c r="I61" s="2"/>
      <x:c r="J61" s="2"/>
    </x:row>
    <x:row r="62" ht="25" customHeight="1">
      <x:c r="A62" s="2"/>
      <x:c r="B62" s="2"/>
      <x:c r="C62" s="3"/>
      <x:c r="D62" s="3"/>
      <x:c r="E62" s="3"/>
      <x:c r="F62" s="3"/>
      <x:c r="G62" s="3"/>
      <x:c r="H62" s="3"/>
      <x:c r="I62" s="2"/>
      <x:c r="J62" s="2"/>
    </x:row>
    <x:row r="63" ht="25" customHeight="1">
      <x:c r="A63" s="2"/>
      <x:c r="B63" s="2"/>
      <x:c r="C63" s="3"/>
      <x:c r="D63" s="3"/>
      <x:c r="E63" s="3"/>
      <x:c r="F63" s="3"/>
      <x:c r="G63" s="3"/>
      <x:c r="H63" s="3"/>
      <x:c r="I63" s="2"/>
      <x:c r="J63" s="2"/>
    </x:row>
    <x:row r="64" ht="25" customHeight="1">
      <x:c r="A64" s="2"/>
      <x:c r="B64" s="2"/>
      <x:c r="C64" s="3"/>
      <x:c r="D64" s="3"/>
      <x:c r="E64" s="3"/>
      <x:c r="F64" s="3"/>
      <x:c r="G64" s="3"/>
      <x:c r="H64" s="3"/>
      <x:c r="I64" s="2"/>
      <x:c r="J64" s="2"/>
    </x:row>
    <x:row r="65" ht="25" customHeight="1">
      <x:c r="A65" s="2"/>
      <x:c r="B65" s="2"/>
      <x:c r="C65" s="3"/>
      <x:c r="D65" s="3"/>
      <x:c r="E65" s="3"/>
      <x:c r="F65" s="3"/>
      <x:c r="G65" s="3"/>
      <x:c r="H65" s="3"/>
      <x:c r="I65" s="2"/>
      <x:c r="J65" s="2"/>
    </x:row>
    <x:row r="66" ht="25" customHeight="1">
      <x:c r="A66" s="2"/>
      <x:c r="B66" s="2"/>
      <x:c r="C66" s="3"/>
      <x:c r="D66" s="3"/>
      <x:c r="E66" s="3"/>
      <x:c r="F66" s="3"/>
      <x:c r="G66" s="3"/>
      <x:c r="H66" s="3"/>
      <x:c r="I66" s="2"/>
      <x:c r="J66" s="2"/>
    </x:row>
    <x:row r="67" ht="25" customHeight="1">
      <x:c r="A67" s="2"/>
      <x:c r="B67" s="2"/>
      <x:c r="C67" s="3"/>
      <x:c r="D67" s="3"/>
      <x:c r="E67" s="3"/>
      <x:c r="F67" s="3"/>
      <x:c r="G67" s="3"/>
      <x:c r="H67" s="3"/>
      <x:c r="I67" s="2"/>
      <x:c r="J67" s="2"/>
    </x:row>
    <x:row r="68" ht="25" customHeight="1">
      <x:c r="A68" s="2"/>
      <x:c r="B68" s="2"/>
      <x:c r="C68" s="3"/>
      <x:c r="D68" s="3"/>
      <x:c r="E68" s="3"/>
      <x:c r="F68" s="3"/>
      <x:c r="G68" s="3"/>
      <x:c r="H68" s="3"/>
      <x:c r="I68" s="2"/>
      <x:c r="J68" s="2"/>
    </x:row>
    <x:row r="69" ht="25" customHeight="1">
      <x:c r="A69" s="2"/>
      <x:c r="B69" s="2"/>
      <x:c r="C69" s="3"/>
      <x:c r="D69" s="3"/>
      <x:c r="E69" s="3"/>
      <x:c r="F69" s="3"/>
      <x:c r="G69" s="3"/>
      <x:c r="H69" s="3"/>
      <x:c r="I69" s="2"/>
      <x:c r="J69" s="2"/>
    </x:row>
    <x:row r="70" ht="25" customHeight="1">
      <x:c r="A70" s="2"/>
      <x:c r="B70" s="2"/>
      <x:c r="C70" s="3"/>
      <x:c r="D70" s="3"/>
      <x:c r="E70" s="3"/>
      <x:c r="F70" s="3"/>
      <x:c r="G70" s="3"/>
      <x:c r="H70" s="3"/>
      <x:c r="I70" s="2"/>
      <x:c r="J70" s="2"/>
    </x:row>
  </x:sheetData>
  <x:mergeCells>
    <x:mergeCell ref="B2:H2"/>
    <x:mergeCell ref="B3:H3"/>
    <x:mergeCell ref="B6:H6"/>
    <x:mergeCell ref="B18:H18"/>
    <x:mergeCell ref="B36:H36"/>
    <x:mergeCell ref="B49:H49"/>
    <x:mergeCell ref="B50:H50"/>
    <x:mergeCell ref="B51:H51"/>
    <x:mergeCell ref="B54:H54"/>
  </x:mergeCells>
  <x:pageMargins left="0.7" right="0.7" top="0.75" bottom="0.75" header="0.3" footer="0.3"/>
</x:worksheet>
</file>